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sf-my.sharepoint.com/personal/mohdshmu_basfad_basf_net/Documents/Iqbal/Process Monitoring Training (MPSM and ANN) UMP/General_Iqbal/"/>
    </mc:Choice>
  </mc:AlternateContent>
  <xr:revisionPtr revIDLastSave="79" documentId="8_{E840CA3A-D9F2-4FDB-9016-53FD2A8FF5B4}" xr6:coauthVersionLast="47" xr6:coauthVersionMax="47" xr10:uidLastSave="{C2410EFC-D636-4901-B41D-555FD10BFAE6}"/>
  <bookViews>
    <workbookView xWindow="-120" yWindow="-120" windowWidth="29040" windowHeight="15840" activeTab="7" xr2:uid="{E06990A0-6BFF-49A0-B477-7D4ABD037907}"/>
  </bookViews>
  <sheets>
    <sheet name="Calculation Flow" sheetId="12" r:id="rId1"/>
    <sheet name="NOC6 (2)" sheetId="9" r:id="rId2"/>
    <sheet name="Cmxm" sheetId="1" r:id="rId3"/>
    <sheet name="S -Eiegenvalues" sheetId="2" r:id="rId4"/>
    <sheet name="V - Eiegenvectors" sheetId="3" r:id="rId5"/>
    <sheet name="P=X̆V" sheetId="6" r:id="rId6"/>
    <sheet name="Hotelling T2" sheetId="7" r:id="rId7"/>
    <sheet name="SPE" sheetId="8" r:id="rId8"/>
    <sheet name="Step 4 - T2" sheetId="10" r:id="rId9"/>
    <sheet name="Step 4 - SPE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7" l="1"/>
  <c r="L3" i="6"/>
  <c r="M3" i="6"/>
  <c r="N3" i="6"/>
  <c r="O3" i="6"/>
  <c r="P3" i="6"/>
  <c r="L4" i="6"/>
  <c r="M4" i="6"/>
  <c r="N4" i="6"/>
  <c r="O4" i="6"/>
  <c r="P4" i="6"/>
  <c r="L5" i="6"/>
  <c r="M5" i="6"/>
  <c r="N5" i="6"/>
  <c r="O5" i="6"/>
  <c r="P5" i="6"/>
  <c r="L6" i="6"/>
  <c r="M6" i="6"/>
  <c r="N6" i="6"/>
  <c r="O6" i="6"/>
  <c r="P6" i="6"/>
  <c r="L7" i="6"/>
  <c r="M7" i="6"/>
  <c r="N7" i="6"/>
  <c r="O7" i="6"/>
  <c r="P7" i="6"/>
  <c r="L8" i="6"/>
  <c r="M8" i="6"/>
  <c r="N8" i="6"/>
  <c r="O8" i="6"/>
  <c r="P8" i="6"/>
  <c r="L9" i="6"/>
  <c r="M9" i="6"/>
  <c r="N9" i="6"/>
  <c r="O9" i="6"/>
  <c r="P9" i="6"/>
  <c r="L10" i="6"/>
  <c r="M10" i="6"/>
  <c r="N10" i="6"/>
  <c r="O10" i="6"/>
  <c r="P10" i="6"/>
  <c r="L11" i="6"/>
  <c r="M11" i="6"/>
  <c r="N11" i="6"/>
  <c r="O11" i="6"/>
  <c r="P11" i="6"/>
  <c r="L12" i="6"/>
  <c r="M12" i="6"/>
  <c r="N12" i="6"/>
  <c r="O12" i="6"/>
  <c r="P12" i="6"/>
  <c r="L13" i="6"/>
  <c r="M13" i="6"/>
  <c r="N13" i="6"/>
  <c r="O13" i="6"/>
  <c r="P13" i="6"/>
  <c r="L14" i="6"/>
  <c r="M14" i="6"/>
  <c r="N14" i="6"/>
  <c r="O14" i="6"/>
  <c r="P14" i="6"/>
  <c r="L15" i="6"/>
  <c r="M15" i="6"/>
  <c r="N15" i="6"/>
  <c r="O15" i="6"/>
  <c r="P15" i="6"/>
  <c r="L16" i="6"/>
  <c r="M16" i="6"/>
  <c r="N16" i="6"/>
  <c r="O16" i="6"/>
  <c r="P16" i="6"/>
  <c r="L17" i="6"/>
  <c r="M17" i="6"/>
  <c r="N17" i="6"/>
  <c r="O17" i="6"/>
  <c r="P17" i="6"/>
  <c r="L18" i="6"/>
  <c r="M18" i="6"/>
  <c r="N18" i="6"/>
  <c r="O18" i="6"/>
  <c r="P18" i="6"/>
  <c r="L19" i="6"/>
  <c r="M19" i="6"/>
  <c r="N19" i="6"/>
  <c r="O19" i="6"/>
  <c r="P19" i="6"/>
  <c r="L20" i="6"/>
  <c r="M20" i="6"/>
  <c r="N20" i="6"/>
  <c r="O20" i="6"/>
  <c r="P20" i="6"/>
  <c r="L21" i="6"/>
  <c r="M21" i="6"/>
  <c r="N21" i="6"/>
  <c r="O21" i="6"/>
  <c r="P21" i="6"/>
  <c r="L22" i="6"/>
  <c r="M22" i="6"/>
  <c r="N22" i="6"/>
  <c r="O22" i="6"/>
  <c r="P22" i="6"/>
  <c r="L23" i="6"/>
  <c r="M23" i="6"/>
  <c r="N23" i="6"/>
  <c r="O23" i="6"/>
  <c r="P23" i="6"/>
  <c r="L24" i="6"/>
  <c r="M24" i="6"/>
  <c r="N24" i="6"/>
  <c r="O24" i="6"/>
  <c r="P24" i="6"/>
  <c r="L25" i="6"/>
  <c r="M25" i="6"/>
  <c r="N25" i="6"/>
  <c r="O25" i="6"/>
  <c r="P25" i="6"/>
  <c r="L26" i="6"/>
  <c r="M26" i="6"/>
  <c r="N26" i="6"/>
  <c r="O26" i="6"/>
  <c r="P26" i="6"/>
  <c r="L27" i="6"/>
  <c r="M27" i="6"/>
  <c r="N27" i="6"/>
  <c r="O27" i="6"/>
  <c r="P27" i="6"/>
  <c r="L28" i="6"/>
  <c r="M28" i="6"/>
  <c r="N28" i="6"/>
  <c r="O28" i="6"/>
  <c r="P28" i="6"/>
  <c r="L29" i="6"/>
  <c r="M29" i="6"/>
  <c r="N29" i="6"/>
  <c r="O29" i="6"/>
  <c r="P29" i="6"/>
  <c r="L30" i="6"/>
  <c r="M30" i="6"/>
  <c r="N30" i="6"/>
  <c r="O30" i="6"/>
  <c r="P30" i="6"/>
  <c r="L31" i="6"/>
  <c r="M31" i="6"/>
  <c r="N31" i="6"/>
  <c r="O31" i="6"/>
  <c r="P31" i="6"/>
  <c r="P2" i="6"/>
  <c r="M2" i="6"/>
  <c r="N2" i="6"/>
  <c r="O2" i="6"/>
  <c r="L2" i="6"/>
  <c r="N15" i="2"/>
  <c r="A16" i="2"/>
  <c r="B16" i="2" s="1"/>
  <c r="C16" i="2" s="1"/>
  <c r="D16" i="2" s="1"/>
  <c r="E16" i="2" s="1"/>
  <c r="F16" i="2" s="1"/>
  <c r="G16" i="2" s="1"/>
  <c r="H16" i="2" s="1"/>
  <c r="I16" i="2" s="1"/>
  <c r="J16" i="2" s="1"/>
  <c r="K16" i="2" s="1"/>
  <c r="L16" i="2" s="1"/>
  <c r="M16" i="2" s="1"/>
  <c r="C27" i="2"/>
  <c r="D27" i="2"/>
  <c r="E27" i="2" s="1"/>
  <c r="F27" i="2" s="1"/>
  <c r="G27" i="2" s="1"/>
  <c r="H27" i="2" s="1"/>
  <c r="I27" i="2" s="1"/>
  <c r="J27" i="2" s="1"/>
  <c r="K27" i="2" s="1"/>
  <c r="L27" i="2" s="1"/>
  <c r="M27" i="2" s="1"/>
  <c r="A27" i="2"/>
  <c r="B27" i="2" s="1"/>
  <c r="C24" i="2"/>
  <c r="D24" i="2" s="1"/>
  <c r="E24" i="2" s="1"/>
  <c r="F24" i="2" s="1"/>
  <c r="G24" i="2" s="1"/>
  <c r="H24" i="2" s="1"/>
  <c r="I24" i="2" s="1"/>
  <c r="J24" i="2" s="1"/>
  <c r="K24" i="2" s="1"/>
  <c r="L24" i="2" s="1"/>
  <c r="M24" i="2" s="1"/>
  <c r="B24" i="2"/>
  <c r="A24" i="2"/>
  <c r="A1" i="6" l="1" a="1"/>
  <c r="A1" i="6" s="1"/>
  <c r="B3" i="7" a="1"/>
  <c r="B3" i="7" s="1"/>
  <c r="J8" i="11" l="1"/>
  <c r="K8" i="11"/>
  <c r="J9" i="11"/>
  <c r="K9" i="11"/>
  <c r="J10" i="11"/>
  <c r="K10" i="11"/>
  <c r="J11" i="11"/>
  <c r="K11" i="11"/>
  <c r="J12" i="11"/>
  <c r="K12" i="11"/>
  <c r="J13" i="11"/>
  <c r="K13" i="11"/>
  <c r="J14" i="11"/>
  <c r="K14" i="11"/>
  <c r="J15" i="11"/>
  <c r="K15" i="11"/>
  <c r="J16" i="11"/>
  <c r="K16" i="11"/>
  <c r="J17" i="11"/>
  <c r="K17" i="11"/>
  <c r="J18" i="11"/>
  <c r="K18" i="11"/>
  <c r="J19" i="11"/>
  <c r="K19" i="11"/>
  <c r="J20" i="11"/>
  <c r="K20" i="11"/>
  <c r="J21" i="11"/>
  <c r="K21" i="11"/>
  <c r="J22" i="11"/>
  <c r="K22" i="11"/>
  <c r="J23" i="11"/>
  <c r="K23" i="11"/>
  <c r="J24" i="11"/>
  <c r="K24" i="11"/>
  <c r="J25" i="11"/>
  <c r="K25" i="11"/>
  <c r="J26" i="11"/>
  <c r="K26" i="11"/>
  <c r="J27" i="11"/>
  <c r="K27" i="11"/>
  <c r="J28" i="11"/>
  <c r="K28" i="11"/>
  <c r="J29" i="11"/>
  <c r="K29" i="11"/>
  <c r="J30" i="11"/>
  <c r="K30" i="11"/>
  <c r="J31" i="11"/>
  <c r="K31" i="11"/>
  <c r="J32" i="11"/>
  <c r="K32" i="11"/>
  <c r="J33" i="11"/>
  <c r="K33" i="11"/>
  <c r="J34" i="11"/>
  <c r="K34" i="11"/>
  <c r="J35" i="11"/>
  <c r="K35" i="11"/>
  <c r="J36" i="11"/>
  <c r="K36" i="11"/>
  <c r="J37" i="11"/>
  <c r="K37" i="11"/>
  <c r="K7" i="11"/>
  <c r="J7" i="11"/>
  <c r="E9" i="11"/>
  <c r="E8" i="11"/>
  <c r="E7" i="11"/>
  <c r="Q4" i="2"/>
  <c r="F9" i="10"/>
  <c r="J4" i="10" s="1"/>
  <c r="F10" i="10"/>
  <c r="K6" i="10" s="1"/>
  <c r="E10" i="11" l="1"/>
  <c r="E14" i="11" s="1"/>
  <c r="K4" i="10"/>
  <c r="J32" i="10"/>
  <c r="J30" i="10"/>
  <c r="J28" i="10"/>
  <c r="J26" i="10"/>
  <c r="J24" i="10"/>
  <c r="J22" i="10"/>
  <c r="J20" i="10"/>
  <c r="J18" i="10"/>
  <c r="J16" i="10"/>
  <c r="J14" i="10"/>
  <c r="J12" i="10"/>
  <c r="J10" i="10"/>
  <c r="J8" i="10"/>
  <c r="J6" i="10"/>
  <c r="K33" i="10"/>
  <c r="K31" i="10"/>
  <c r="K29" i="10"/>
  <c r="K27" i="10"/>
  <c r="K25" i="10"/>
  <c r="K23" i="10"/>
  <c r="K21" i="10"/>
  <c r="K19" i="10"/>
  <c r="K17" i="10"/>
  <c r="K15" i="10"/>
  <c r="K13" i="10"/>
  <c r="K11" i="10"/>
  <c r="K9" i="10"/>
  <c r="K7" i="10"/>
  <c r="K5" i="10"/>
  <c r="J33" i="10"/>
  <c r="J31" i="10"/>
  <c r="J29" i="10"/>
  <c r="J27" i="10"/>
  <c r="J25" i="10"/>
  <c r="J23" i="10"/>
  <c r="J21" i="10"/>
  <c r="J19" i="10"/>
  <c r="J17" i="10"/>
  <c r="J15" i="10"/>
  <c r="J13" i="10"/>
  <c r="J11" i="10"/>
  <c r="J9" i="10"/>
  <c r="J7" i="10"/>
  <c r="J5" i="10"/>
  <c r="K32" i="10"/>
  <c r="K30" i="10"/>
  <c r="K28" i="10"/>
  <c r="K26" i="10"/>
  <c r="K24" i="10"/>
  <c r="K22" i="10"/>
  <c r="K20" i="10"/>
  <c r="K18" i="10"/>
  <c r="K16" i="10"/>
  <c r="K14" i="10"/>
  <c r="K12" i="10"/>
  <c r="K10" i="10"/>
  <c r="K8" i="10"/>
  <c r="E13" i="11" l="1"/>
  <c r="N35" i="9" l="1"/>
  <c r="M35" i="9"/>
  <c r="L35" i="9"/>
  <c r="K35" i="9"/>
  <c r="Z10" i="9" s="1"/>
  <c r="J35" i="9"/>
  <c r="I35" i="9"/>
  <c r="H35" i="9"/>
  <c r="G35" i="9"/>
  <c r="V3" i="9" s="1"/>
  <c r="F35" i="9"/>
  <c r="E35" i="9"/>
  <c r="D35" i="9"/>
  <c r="C35" i="9"/>
  <c r="R30" i="9" s="1"/>
  <c r="B35" i="9"/>
  <c r="N34" i="9"/>
  <c r="M34" i="9"/>
  <c r="AB24" i="9" s="1"/>
  <c r="L34" i="9"/>
  <c r="K34" i="9"/>
  <c r="J34" i="9"/>
  <c r="I34" i="9"/>
  <c r="X29" i="9" s="1"/>
  <c r="H34" i="9"/>
  <c r="W18" i="9" s="1"/>
  <c r="G34" i="9"/>
  <c r="F34" i="9"/>
  <c r="E34" i="9"/>
  <c r="T29" i="9" s="1"/>
  <c r="D34" i="9"/>
  <c r="S31" i="9" s="1"/>
  <c r="C34" i="9"/>
  <c r="B34" i="9"/>
  <c r="Q3" i="9" s="1"/>
  <c r="AB32" i="9"/>
  <c r="T31" i="9"/>
  <c r="AB30" i="9"/>
  <c r="T30" i="9"/>
  <c r="S30" i="9"/>
  <c r="AB29" i="9"/>
  <c r="Y29" i="9"/>
  <c r="Q29" i="9"/>
  <c r="X28" i="9"/>
  <c r="Q28" i="9"/>
  <c r="T26" i="9"/>
  <c r="AC25" i="9"/>
  <c r="Q25" i="9"/>
  <c r="Y23" i="9"/>
  <c r="S22" i="9"/>
  <c r="Q22" i="9"/>
  <c r="T21" i="9"/>
  <c r="X20" i="9"/>
  <c r="T20" i="9"/>
  <c r="AC19" i="9"/>
  <c r="T19" i="9"/>
  <c r="Y18" i="9"/>
  <c r="T18" i="9"/>
  <c r="X17" i="9"/>
  <c r="T17" i="9"/>
  <c r="AB16" i="9"/>
  <c r="T16" i="9"/>
  <c r="T15" i="9"/>
  <c r="AB14" i="9"/>
  <c r="Q14" i="9"/>
  <c r="T13" i="9"/>
  <c r="X12" i="9"/>
  <c r="T12" i="9"/>
  <c r="AC11" i="9"/>
  <c r="T11" i="9"/>
  <c r="T10" i="9"/>
  <c r="Y9" i="9"/>
  <c r="T9" i="9"/>
  <c r="AB8" i="9"/>
  <c r="T8" i="9"/>
  <c r="AB7" i="9"/>
  <c r="Y7" i="9"/>
  <c r="W7" i="9"/>
  <c r="T7" i="9"/>
  <c r="Q7" i="9"/>
  <c r="Y6" i="9"/>
  <c r="T6" i="9"/>
  <c r="AB5" i="9"/>
  <c r="Y5" i="9"/>
  <c r="Q5" i="9"/>
  <c r="Y4" i="9"/>
  <c r="X4" i="9"/>
  <c r="T4" i="9"/>
  <c r="AC3" i="9"/>
  <c r="Z3" i="9"/>
  <c r="R10" i="9" l="1"/>
  <c r="R21" i="9"/>
  <c r="S29" i="9"/>
  <c r="S32" i="9"/>
  <c r="S9" i="9"/>
  <c r="V14" i="9"/>
  <c r="S18" i="9"/>
  <c r="S28" i="9"/>
  <c r="S8" i="9"/>
  <c r="Z12" i="9"/>
  <c r="S17" i="9"/>
  <c r="Q32" i="9"/>
  <c r="R6" i="9"/>
  <c r="S10" i="9"/>
  <c r="Z15" i="9"/>
  <c r="S21" i="9"/>
  <c r="V22" i="9"/>
  <c r="S24" i="9"/>
  <c r="V28" i="9"/>
  <c r="AA14" i="9"/>
  <c r="S3" i="9"/>
  <c r="S5" i="9"/>
  <c r="S6" i="9"/>
  <c r="S7" i="9"/>
  <c r="Z8" i="9"/>
  <c r="W9" i="9"/>
  <c r="R15" i="9"/>
  <c r="S23" i="9"/>
  <c r="S27" i="9"/>
  <c r="R8" i="9"/>
  <c r="S14" i="9"/>
  <c r="S15" i="9"/>
  <c r="R18" i="9"/>
  <c r="S19" i="9"/>
  <c r="W23" i="9"/>
  <c r="S25" i="9"/>
  <c r="R32" i="9"/>
  <c r="V23" i="9"/>
  <c r="Z19" i="9"/>
  <c r="Y15" i="9"/>
  <c r="AC20" i="9"/>
  <c r="R3" i="9"/>
  <c r="Y3" i="9"/>
  <c r="Q4" i="9"/>
  <c r="R5" i="9"/>
  <c r="Z5" i="9"/>
  <c r="Z6" i="9"/>
  <c r="Z7" i="9"/>
  <c r="Z9" i="9"/>
  <c r="Q11" i="9"/>
  <c r="V11" i="9"/>
  <c r="Q12" i="9"/>
  <c r="V12" i="9"/>
  <c r="Q13" i="9"/>
  <c r="Y13" i="9"/>
  <c r="R14" i="9"/>
  <c r="Q16" i="9"/>
  <c r="Y17" i="9"/>
  <c r="Z18" i="9"/>
  <c r="Q20" i="9"/>
  <c r="R22" i="9"/>
  <c r="Y22" i="9"/>
  <c r="T23" i="9"/>
  <c r="Z23" i="9"/>
  <c r="T24" i="9"/>
  <c r="R25" i="9"/>
  <c r="Q26" i="9"/>
  <c r="Z26" i="9"/>
  <c r="T27" i="9"/>
  <c r="R28" i="9"/>
  <c r="R29" i="9"/>
  <c r="Z29" i="9"/>
  <c r="Q31" i="9"/>
  <c r="Y31" i="9"/>
  <c r="T32" i="9"/>
  <c r="AA30" i="9"/>
  <c r="R4" i="9"/>
  <c r="Q9" i="9"/>
  <c r="AC9" i="9"/>
  <c r="R11" i="9"/>
  <c r="Y11" i="9"/>
  <c r="R12" i="9"/>
  <c r="R13" i="9"/>
  <c r="Z13" i="9"/>
  <c r="AC14" i="9"/>
  <c r="R16" i="9"/>
  <c r="Q17" i="9"/>
  <c r="V17" i="9"/>
  <c r="Z17" i="9"/>
  <c r="Q19" i="9"/>
  <c r="V19" i="9"/>
  <c r="R20" i="9"/>
  <c r="Y20" i="9"/>
  <c r="Q23" i="9"/>
  <c r="Q24" i="9"/>
  <c r="Z24" i="9"/>
  <c r="R26" i="9"/>
  <c r="Q27" i="9"/>
  <c r="V27" i="9"/>
  <c r="Y28" i="9"/>
  <c r="R31" i="9"/>
  <c r="Z31" i="9"/>
  <c r="T3" i="9"/>
  <c r="AB3" i="9"/>
  <c r="S4" i="9"/>
  <c r="Z4" i="9"/>
  <c r="T5" i="9"/>
  <c r="Q6" i="9"/>
  <c r="V6" i="9"/>
  <c r="R7" i="9"/>
  <c r="X7" i="9"/>
  <c r="Q8" i="9"/>
  <c r="Y8" i="9"/>
  <c r="R9" i="9"/>
  <c r="X9" i="9"/>
  <c r="Q10" i="9"/>
  <c r="Y10" i="9"/>
  <c r="S11" i="9"/>
  <c r="Z11" i="9"/>
  <c r="S12" i="9"/>
  <c r="Y12" i="9"/>
  <c r="S13" i="9"/>
  <c r="AB13" i="9"/>
  <c r="T14" i="9"/>
  <c r="T35" i="9" s="1"/>
  <c r="Q15" i="9"/>
  <c r="S16" i="9"/>
  <c r="R17" i="9"/>
  <c r="W17" i="9"/>
  <c r="Q18" i="9"/>
  <c r="X18" i="9"/>
  <c r="R19" i="9"/>
  <c r="AB19" i="9"/>
  <c r="S20" i="9"/>
  <c r="Q21" i="9"/>
  <c r="AB21" i="9"/>
  <c r="T22" i="9"/>
  <c r="R23" i="9"/>
  <c r="X23" i="9"/>
  <c r="R24" i="9"/>
  <c r="T25" i="9"/>
  <c r="S26" i="9"/>
  <c r="R27" i="9"/>
  <c r="AC27" i="9"/>
  <c r="T28" i="9"/>
  <c r="Z28" i="9"/>
  <c r="Q30" i="9"/>
  <c r="V30" i="9"/>
  <c r="U28" i="9"/>
  <c r="Y24" i="9"/>
  <c r="AB25" i="9"/>
  <c r="U6" i="9"/>
  <c r="AA8" i="9"/>
  <c r="W12" i="9"/>
  <c r="U22" i="9"/>
  <c r="AA24" i="9"/>
  <c r="W28" i="9"/>
  <c r="AC30" i="9"/>
  <c r="AA29" i="9"/>
  <c r="AA18" i="9"/>
  <c r="AC13" i="9"/>
  <c r="V16" i="9"/>
  <c r="AB18" i="9"/>
  <c r="U21" i="9"/>
  <c r="X22" i="9"/>
  <c r="AA23" i="9"/>
  <c r="W27" i="9"/>
  <c r="AC29" i="9"/>
  <c r="V32" i="9"/>
  <c r="W22" i="9"/>
  <c r="AC18" i="9"/>
  <c r="V21" i="9"/>
  <c r="AB23" i="9"/>
  <c r="U26" i="9"/>
  <c r="X27" i="9"/>
  <c r="AA28" i="9"/>
  <c r="W32" i="9"/>
  <c r="U32" i="9"/>
  <c r="V5" i="9"/>
  <c r="X11" i="9"/>
  <c r="W5" i="9"/>
  <c r="AC7" i="9"/>
  <c r="V10" i="9"/>
  <c r="AB12" i="9"/>
  <c r="U15" i="9"/>
  <c r="X16" i="9"/>
  <c r="AA17" i="9"/>
  <c r="W21" i="9"/>
  <c r="Z22" i="9"/>
  <c r="AC23" i="9"/>
  <c r="V26" i="9"/>
  <c r="Y27" i="9"/>
  <c r="AB28" i="9"/>
  <c r="U31" i="9"/>
  <c r="X32" i="9"/>
  <c r="AA19" i="9"/>
  <c r="U27" i="9"/>
  <c r="AC8" i="9"/>
  <c r="U16" i="9"/>
  <c r="U5" i="9"/>
  <c r="AA7" i="9"/>
  <c r="U4" i="9"/>
  <c r="X5" i="9"/>
  <c r="AA6" i="9"/>
  <c r="W10" i="9"/>
  <c r="AC12" i="9"/>
  <c r="V15" i="9"/>
  <c r="Y16" i="9"/>
  <c r="AB17" i="9"/>
  <c r="U20" i="9"/>
  <c r="X21" i="9"/>
  <c r="AA22" i="9"/>
  <c r="W26" i="9"/>
  <c r="Z27" i="9"/>
  <c r="AC28" i="9"/>
  <c r="V31" i="9"/>
  <c r="Y32" i="9"/>
  <c r="U17" i="9"/>
  <c r="U11" i="9"/>
  <c r="W6" i="9"/>
  <c r="AC24" i="9"/>
  <c r="U10" i="9"/>
  <c r="V4" i="9"/>
  <c r="AB6" i="9"/>
  <c r="U9" i="9"/>
  <c r="X10" i="9"/>
  <c r="AA11" i="9"/>
  <c r="W15" i="9"/>
  <c r="Z16" i="9"/>
  <c r="AC17" i="9"/>
  <c r="V20" i="9"/>
  <c r="Y21" i="9"/>
  <c r="AB22" i="9"/>
  <c r="U25" i="9"/>
  <c r="X26" i="9"/>
  <c r="AA27" i="9"/>
  <c r="W31" i="9"/>
  <c r="Z32" i="9"/>
  <c r="AA13" i="9"/>
  <c r="X6" i="9"/>
  <c r="W11" i="9"/>
  <c r="AA12" i="9"/>
  <c r="W16" i="9"/>
  <c r="W4" i="9"/>
  <c r="AC6" i="9"/>
  <c r="V9" i="9"/>
  <c r="AB11" i="9"/>
  <c r="U14" i="9"/>
  <c r="X15" i="9"/>
  <c r="AA16" i="9"/>
  <c r="W20" i="9"/>
  <c r="Z21" i="9"/>
  <c r="AC22" i="9"/>
  <c r="V25" i="9"/>
  <c r="Y26" i="9"/>
  <c r="AB27" i="9"/>
  <c r="U30" i="9"/>
  <c r="X31" i="9"/>
  <c r="AA32" i="9"/>
  <c r="AA5" i="9"/>
  <c r="U19" i="9"/>
  <c r="AA10" i="9"/>
  <c r="AA26" i="9"/>
  <c r="W3" i="9"/>
  <c r="AC5" i="9"/>
  <c r="V8" i="9"/>
  <c r="AB10" i="9"/>
  <c r="U13" i="9"/>
  <c r="X14" i="9"/>
  <c r="AA15" i="9"/>
  <c r="W19" i="9"/>
  <c r="Z20" i="9"/>
  <c r="AC21" i="9"/>
  <c r="V24" i="9"/>
  <c r="Y25" i="9"/>
  <c r="AB26" i="9"/>
  <c r="U29" i="9"/>
  <c r="X30" i="9"/>
  <c r="AA31" i="9"/>
  <c r="AA21" i="9"/>
  <c r="W25" i="9"/>
  <c r="X3" i="9"/>
  <c r="AA4" i="9"/>
  <c r="W8" i="9"/>
  <c r="AC10" i="9"/>
  <c r="V13" i="9"/>
  <c r="Y14" i="9"/>
  <c r="AB15" i="9"/>
  <c r="U18" i="9"/>
  <c r="X19" i="9"/>
  <c r="AA20" i="9"/>
  <c r="W24" i="9"/>
  <c r="Z25" i="9"/>
  <c r="AC26" i="9"/>
  <c r="V29" i="9"/>
  <c r="Y30" i="9"/>
  <c r="AB31" i="9"/>
  <c r="AA3" i="9"/>
  <c r="X25" i="9"/>
  <c r="W30" i="9"/>
  <c r="AB4" i="9"/>
  <c r="U7" i="9"/>
  <c r="X8" i="9"/>
  <c r="AA9" i="9"/>
  <c r="W13" i="9"/>
  <c r="Z14" i="9"/>
  <c r="AC15" i="9"/>
  <c r="V18" i="9"/>
  <c r="Y19" i="9"/>
  <c r="AB20" i="9"/>
  <c r="U23" i="9"/>
  <c r="X24" i="9"/>
  <c r="AA25" i="9"/>
  <c r="W29" i="9"/>
  <c r="Z30" i="9"/>
  <c r="AC31" i="9"/>
  <c r="U3" i="9"/>
  <c r="U8" i="9"/>
  <c r="W14" i="9"/>
  <c r="AC16" i="9"/>
  <c r="U24" i="9"/>
  <c r="AC32" i="9"/>
  <c r="AC4" i="9"/>
  <c r="V7" i="9"/>
  <c r="AB9" i="9"/>
  <c r="U12" i="9"/>
  <c r="X13" i="9"/>
  <c r="AC35" i="9" l="1"/>
  <c r="S35" i="9"/>
  <c r="Q34" i="9"/>
  <c r="V35" i="9"/>
  <c r="T34" i="9"/>
  <c r="Q35" i="9"/>
  <c r="R34" i="9"/>
  <c r="Z34" i="9"/>
  <c r="V34" i="9"/>
  <c r="AB34" i="9"/>
  <c r="AB35" i="9"/>
  <c r="Y35" i="9"/>
  <c r="S34" i="9"/>
  <c r="R35" i="9"/>
  <c r="AA35" i="9"/>
  <c r="AA34" i="9"/>
  <c r="X35" i="9"/>
  <c r="X34" i="9"/>
  <c r="Y34" i="9"/>
  <c r="W34" i="9"/>
  <c r="W35" i="9"/>
  <c r="Z35" i="9"/>
  <c r="AC34" i="9"/>
  <c r="U34" i="9"/>
  <c r="U35" i="9"/>
  <c r="B3" i="8" l="1" a="1"/>
  <c r="D32" i="8" l="1"/>
  <c r="B30" i="8"/>
  <c r="C10" i="8"/>
  <c r="C30" i="8"/>
  <c r="C18" i="8"/>
  <c r="F13" i="8"/>
  <c r="E15" i="8"/>
  <c r="C16" i="8"/>
  <c r="F20" i="8"/>
  <c r="F28" i="8"/>
  <c r="B20" i="8"/>
  <c r="C26" i="8"/>
  <c r="B8" i="8"/>
  <c r="D21" i="8"/>
  <c r="E20" i="8"/>
  <c r="B22" i="8"/>
  <c r="B6" i="8"/>
  <c r="E3" i="8"/>
  <c r="F7" i="8"/>
  <c r="D9" i="8"/>
  <c r="F26" i="8"/>
  <c r="D19" i="8"/>
  <c r="C17" i="8"/>
  <c r="D30" i="8"/>
  <c r="B5" i="8"/>
  <c r="F25" i="8"/>
  <c r="B10" i="8"/>
  <c r="E5" i="8"/>
  <c r="C13" i="8"/>
  <c r="F19" i="8"/>
  <c r="B17" i="8"/>
  <c r="E13" i="8"/>
  <c r="D14" i="8"/>
  <c r="E24" i="8"/>
  <c r="B24" i="8"/>
  <c r="D28" i="8"/>
  <c r="E22" i="8"/>
  <c r="D12" i="8"/>
  <c r="F6" i="8"/>
  <c r="C23" i="8"/>
  <c r="B31" i="8"/>
  <c r="B3" i="8"/>
  <c r="F18" i="8"/>
  <c r="D11" i="8"/>
  <c r="D24" i="8"/>
  <c r="B29" i="8"/>
  <c r="F11" i="8"/>
  <c r="F9" i="8"/>
  <c r="B15" i="8"/>
  <c r="D23" i="8"/>
  <c r="C25" i="8"/>
  <c r="E16" i="8"/>
  <c r="F23" i="8"/>
  <c r="D17" i="8"/>
  <c r="C5" i="8"/>
  <c r="F8" i="8"/>
  <c r="F27" i="8"/>
  <c r="F15" i="8"/>
  <c r="C32" i="8"/>
  <c r="E31" i="8"/>
  <c r="D16" i="8"/>
  <c r="D4" i="8"/>
  <c r="F21" i="8"/>
  <c r="D3" i="8"/>
  <c r="B27" i="8"/>
  <c r="B23" i="8"/>
  <c r="F4" i="8"/>
  <c r="E17" i="8"/>
  <c r="D8" i="8"/>
  <c r="B12" i="8"/>
  <c r="F5" i="8"/>
  <c r="E28" i="8"/>
  <c r="B7" i="8"/>
  <c r="C6" i="8"/>
  <c r="E19" i="8"/>
  <c r="F17" i="8"/>
  <c r="B32" i="8"/>
  <c r="F31" i="8"/>
  <c r="E7" i="8"/>
  <c r="C31" i="8"/>
  <c r="D6" i="8"/>
  <c r="C7" i="8"/>
  <c r="C11" i="8"/>
  <c r="E27" i="8"/>
  <c r="E11" i="8"/>
  <c r="C15" i="8"/>
  <c r="B9" i="8"/>
  <c r="C3" i="8"/>
  <c r="E32" i="8"/>
  <c r="E12" i="8"/>
  <c r="F22" i="8"/>
  <c r="E21" i="8"/>
  <c r="C29" i="8"/>
  <c r="B28" i="8"/>
  <c r="F10" i="8"/>
  <c r="B13" i="8"/>
  <c r="D26" i="8"/>
  <c r="C27" i="8"/>
  <c r="D13" i="8"/>
  <c r="F14" i="8"/>
  <c r="D18" i="8"/>
  <c r="C12" i="8"/>
  <c r="E9" i="8"/>
  <c r="D10" i="8"/>
  <c r="B19" i="8"/>
  <c r="B26" i="8"/>
  <c r="C4" i="8"/>
  <c r="D29" i="8"/>
  <c r="B18" i="8"/>
  <c r="D15" i="8"/>
  <c r="B16" i="8"/>
  <c r="E29" i="8"/>
  <c r="C22" i="8"/>
  <c r="F30" i="8"/>
  <c r="E26" i="8"/>
  <c r="B25" i="8"/>
  <c r="E23" i="8"/>
  <c r="E25" i="8"/>
  <c r="C8" i="8"/>
  <c r="F32" i="8"/>
  <c r="D7" i="8"/>
  <c r="C14" i="8"/>
  <c r="B11" i="8"/>
  <c r="C20" i="8"/>
  <c r="E14" i="8"/>
  <c r="B4" i="8"/>
  <c r="C21" i="8"/>
  <c r="F24" i="8"/>
  <c r="E18" i="8"/>
  <c r="D22" i="8"/>
  <c r="E10" i="8"/>
  <c r="D25" i="8"/>
  <c r="C19" i="8"/>
  <c r="F16" i="8"/>
  <c r="D5" i="8"/>
  <c r="D27" i="8"/>
  <c r="E30" i="8"/>
  <c r="B21" i="8"/>
  <c r="D20" i="8"/>
  <c r="C24" i="8"/>
  <c r="F29" i="8"/>
  <c r="E8" i="8"/>
  <c r="F3" i="8"/>
  <c r="C28" i="8"/>
  <c r="E6" i="8"/>
  <c r="E4" i="8"/>
  <c r="F12" i="8"/>
  <c r="D31" i="8"/>
  <c r="C9" i="8"/>
  <c r="B14" i="8"/>
  <c r="C36" i="8" l="1" a="1"/>
  <c r="D53" i="8" s="1"/>
  <c r="H31" i="7"/>
  <c r="H9" i="7"/>
  <c r="H20" i="7"/>
  <c r="F38" i="8"/>
  <c r="O65" i="8"/>
  <c r="G42" i="8"/>
  <c r="D40" i="8"/>
  <c r="L52" i="8"/>
  <c r="M53" i="8"/>
  <c r="I47" i="8"/>
  <c r="J43" i="8"/>
  <c r="M36" i="8"/>
  <c r="F41" i="8"/>
  <c r="C57" i="8"/>
  <c r="F50" i="8"/>
  <c r="M64" i="8"/>
  <c r="C40" i="8"/>
  <c r="D41" i="8"/>
  <c r="E42" i="8"/>
  <c r="J57" i="8"/>
  <c r="L62" i="8"/>
  <c r="F61" i="8"/>
  <c r="H46" i="8"/>
  <c r="F48" i="8"/>
  <c r="I56" i="8"/>
  <c r="C61" i="8"/>
  <c r="C55" i="8"/>
  <c r="J45" i="8"/>
  <c r="E56" i="8"/>
  <c r="J42" i="8"/>
  <c r="G58" i="8"/>
  <c r="L39" i="8"/>
  <c r="K44" i="8"/>
  <c r="H37" i="8"/>
  <c r="G54" i="8"/>
  <c r="I49" i="8"/>
  <c r="E65" i="8"/>
  <c r="G39" i="8"/>
  <c r="H42" i="8"/>
  <c r="I55" i="8"/>
  <c r="D38" i="8"/>
  <c r="O36" i="8"/>
  <c r="G57" i="8"/>
  <c r="H53" i="8"/>
  <c r="E39" i="8"/>
  <c r="L38" i="8"/>
  <c r="J53" i="8"/>
  <c r="N50" i="8"/>
  <c r="E49" i="8"/>
  <c r="H43" i="8"/>
  <c r="I37" i="8"/>
  <c r="C39" i="8"/>
  <c r="E52" i="8"/>
  <c r="J62" i="8"/>
  <c r="L40" i="8"/>
  <c r="C56" i="8"/>
  <c r="N40" i="8"/>
  <c r="H40" i="8"/>
  <c r="O50" i="8"/>
  <c r="F59" i="8"/>
  <c r="H14" i="7"/>
  <c r="H29" i="7"/>
  <c r="H12" i="7"/>
  <c r="H19" i="7"/>
  <c r="H18" i="7"/>
  <c r="H6" i="7"/>
  <c r="H32" i="7"/>
  <c r="H4" i="7"/>
  <c r="H13" i="7"/>
  <c r="H23" i="7"/>
  <c r="H5" i="7"/>
  <c r="H25" i="7"/>
  <c r="H24" i="7"/>
  <c r="H16" i="7"/>
  <c r="H28" i="7"/>
  <c r="H21" i="7"/>
  <c r="H26" i="7"/>
  <c r="H15" i="7"/>
  <c r="H22" i="7"/>
  <c r="H8" i="7"/>
  <c r="H30" i="7"/>
  <c r="H11" i="7"/>
  <c r="H27" i="7"/>
  <c r="H7" i="7"/>
  <c r="H17" i="7"/>
  <c r="H10" i="7"/>
  <c r="H41" i="8" l="1"/>
  <c r="M38" i="8"/>
  <c r="D36" i="8"/>
  <c r="K59" i="8"/>
  <c r="J56" i="8"/>
  <c r="J49" i="8"/>
  <c r="K53" i="8"/>
  <c r="O60" i="8"/>
  <c r="J36" i="8"/>
  <c r="M54" i="8"/>
  <c r="N54" i="8"/>
  <c r="K52" i="8"/>
  <c r="K62" i="8"/>
  <c r="G43" i="8"/>
  <c r="E44" i="8"/>
  <c r="D56" i="8"/>
  <c r="O59" i="8"/>
  <c r="C65" i="8"/>
  <c r="J54" i="8"/>
  <c r="C42" i="8"/>
  <c r="F40" i="8"/>
  <c r="G64" i="8"/>
  <c r="D49" i="8"/>
  <c r="K60" i="8"/>
  <c r="D62" i="8"/>
  <c r="F51" i="8"/>
  <c r="D44" i="8"/>
  <c r="I54" i="8"/>
  <c r="N37" i="8"/>
  <c r="E61" i="8"/>
  <c r="O41" i="8"/>
  <c r="I59" i="8"/>
  <c r="M63" i="8"/>
  <c r="F62" i="8"/>
  <c r="G40" i="8"/>
  <c r="M50" i="8"/>
  <c r="H50" i="8"/>
  <c r="L51" i="8"/>
  <c r="M56" i="8"/>
  <c r="G47" i="8"/>
  <c r="I36" i="8"/>
  <c r="E43" i="8"/>
  <c r="L55" i="8"/>
  <c r="D57" i="8"/>
  <c r="F42" i="8"/>
  <c r="M60" i="8"/>
  <c r="L64" i="8"/>
  <c r="D37" i="8"/>
  <c r="J61" i="8"/>
  <c r="M57" i="8"/>
  <c r="N48" i="8"/>
  <c r="L44" i="8"/>
  <c r="K51" i="8"/>
  <c r="L53" i="8"/>
  <c r="L61" i="8"/>
  <c r="C38" i="8"/>
  <c r="D59" i="8"/>
  <c r="C62" i="8"/>
  <c r="O38" i="8"/>
  <c r="M46" i="8"/>
  <c r="M44" i="8"/>
  <c r="L48" i="8"/>
  <c r="H62" i="8"/>
  <c r="O53" i="8"/>
  <c r="F37" i="8"/>
  <c r="G50" i="8"/>
  <c r="O44" i="8"/>
  <c r="N61" i="8"/>
  <c r="I57" i="8"/>
  <c r="O48" i="8"/>
  <c r="D48" i="8"/>
  <c r="G45" i="8"/>
  <c r="E38" i="8"/>
  <c r="K42" i="8"/>
  <c r="I39" i="8"/>
  <c r="I48" i="8"/>
  <c r="H52" i="8"/>
  <c r="M41" i="8"/>
  <c r="D60" i="8"/>
  <c r="F52" i="8"/>
  <c r="N55" i="8"/>
  <c r="H48" i="8"/>
  <c r="N56" i="8"/>
  <c r="I52" i="8"/>
  <c r="K58" i="8"/>
  <c r="O40" i="8"/>
  <c r="O37" i="8"/>
  <c r="L49" i="8"/>
  <c r="H44" i="8"/>
  <c r="M52" i="8"/>
  <c r="H45" i="8"/>
  <c r="D47" i="8"/>
  <c r="H51" i="8"/>
  <c r="E64" i="8"/>
  <c r="J63" i="8"/>
  <c r="N62" i="8"/>
  <c r="N36" i="8"/>
  <c r="C52" i="8"/>
  <c r="G52" i="8"/>
  <c r="N51" i="8"/>
  <c r="L59" i="8"/>
  <c r="F65" i="8"/>
  <c r="G49" i="8"/>
  <c r="E41" i="8"/>
  <c r="L57" i="8"/>
  <c r="G55" i="8"/>
  <c r="H38" i="8"/>
  <c r="K54" i="8"/>
  <c r="J58" i="8"/>
  <c r="F49" i="8"/>
  <c r="O47" i="8"/>
  <c r="C58" i="8"/>
  <c r="G59" i="8"/>
  <c r="J64" i="8"/>
  <c r="J46" i="8"/>
  <c r="N47" i="8"/>
  <c r="E37" i="8"/>
  <c r="G44" i="8"/>
  <c r="C60" i="8"/>
  <c r="D54" i="8"/>
  <c r="J39" i="8"/>
  <c r="C43" i="8"/>
  <c r="N39" i="8"/>
  <c r="M43" i="8"/>
  <c r="N59" i="8"/>
  <c r="C49" i="8"/>
  <c r="G37" i="8"/>
  <c r="N44" i="8"/>
  <c r="O61" i="8"/>
  <c r="K55" i="8"/>
  <c r="K47" i="8"/>
  <c r="M42" i="8"/>
  <c r="H39" i="8"/>
  <c r="E63" i="8"/>
  <c r="M37" i="8"/>
  <c r="I45" i="8"/>
  <c r="C36" i="8"/>
  <c r="D50" i="8"/>
  <c r="O64" i="8"/>
  <c r="H55" i="8"/>
  <c r="H61" i="8"/>
  <c r="M49" i="8"/>
  <c r="H49" i="8"/>
  <c r="O45" i="8"/>
  <c r="F60" i="8"/>
  <c r="H57" i="8"/>
  <c r="D42" i="8"/>
  <c r="F39" i="8"/>
  <c r="J37" i="8"/>
  <c r="L47" i="8"/>
  <c r="I65" i="8"/>
  <c r="L54" i="8"/>
  <c r="F43" i="8"/>
  <c r="L36" i="8"/>
  <c r="L46" i="8"/>
  <c r="E47" i="8"/>
  <c r="E46" i="8"/>
  <c r="L50" i="8"/>
  <c r="K49" i="8"/>
  <c r="G60" i="8"/>
  <c r="G62" i="8"/>
  <c r="F64" i="8"/>
  <c r="O42" i="8"/>
  <c r="O51" i="8"/>
  <c r="K50" i="8"/>
  <c r="J52" i="8"/>
  <c r="D61" i="8"/>
  <c r="M40" i="8"/>
  <c r="L65" i="8"/>
  <c r="K61" i="8"/>
  <c r="O55" i="8"/>
  <c r="D45" i="8"/>
  <c r="M48" i="8"/>
  <c r="G46" i="8"/>
  <c r="I58" i="8"/>
  <c r="O63" i="8"/>
  <c r="G53" i="8"/>
  <c r="H58" i="8"/>
  <c r="H36" i="8"/>
  <c r="M51" i="8"/>
  <c r="N53" i="8"/>
  <c r="E57" i="8"/>
  <c r="J47" i="8"/>
  <c r="I44" i="8"/>
  <c r="D52" i="8"/>
  <c r="N64" i="8"/>
  <c r="J55" i="8"/>
  <c r="O56" i="8"/>
  <c r="N60" i="8"/>
  <c r="C50" i="8"/>
  <c r="N42" i="8"/>
  <c r="M55" i="8"/>
  <c r="L45" i="8"/>
  <c r="I41" i="8"/>
  <c r="K36" i="8"/>
  <c r="C54" i="8"/>
  <c r="F56" i="8"/>
  <c r="J38" i="8"/>
  <c r="O43" i="8"/>
  <c r="N41" i="8"/>
  <c r="O46" i="8"/>
  <c r="M65" i="8"/>
  <c r="H59" i="8"/>
  <c r="M62" i="8"/>
  <c r="C47" i="8"/>
  <c r="O62" i="8"/>
  <c r="C41" i="8"/>
  <c r="J51" i="8"/>
  <c r="I63" i="8"/>
  <c r="E59" i="8"/>
  <c r="E58" i="8"/>
  <c r="G63" i="8"/>
  <c r="C59" i="8"/>
  <c r="H65" i="8"/>
  <c r="J48" i="8"/>
  <c r="N57" i="8"/>
  <c r="C53" i="8"/>
  <c r="D63" i="8"/>
  <c r="K39" i="8"/>
  <c r="H60" i="8"/>
  <c r="J44" i="8"/>
  <c r="C51" i="8"/>
  <c r="E40" i="8"/>
  <c r="G38" i="8"/>
  <c r="K46" i="8"/>
  <c r="J40" i="8"/>
  <c r="F46" i="8"/>
  <c r="L63" i="8"/>
  <c r="N52" i="8"/>
  <c r="N45" i="8"/>
  <c r="G51" i="8"/>
  <c r="E55" i="8"/>
  <c r="C64" i="8"/>
  <c r="C46" i="8"/>
  <c r="I40" i="8"/>
  <c r="F47" i="8"/>
  <c r="K48" i="8"/>
  <c r="E60" i="8"/>
  <c r="K57" i="8"/>
  <c r="D64" i="8"/>
  <c r="D58" i="8"/>
  <c r="O49" i="8"/>
  <c r="N58" i="8"/>
  <c r="C48" i="8"/>
  <c r="F36" i="8"/>
  <c r="L58" i="8"/>
  <c r="F55" i="8"/>
  <c r="O57" i="8"/>
  <c r="I38" i="8"/>
  <c r="F57" i="8"/>
  <c r="K56" i="8"/>
  <c r="O39" i="8"/>
  <c r="E62" i="8"/>
  <c r="H63" i="8"/>
  <c r="K37" i="8"/>
  <c r="M45" i="8"/>
  <c r="D55" i="8"/>
  <c r="H54" i="8"/>
  <c r="K64" i="8"/>
  <c r="N65" i="8"/>
  <c r="N38" i="8"/>
  <c r="E53" i="8"/>
  <c r="G56" i="8"/>
  <c r="J60" i="8"/>
  <c r="N63" i="8"/>
  <c r="M59" i="8"/>
  <c r="K63" i="8"/>
  <c r="G41" i="8"/>
  <c r="M58" i="8"/>
  <c r="M39" i="8"/>
  <c r="K38" i="8"/>
  <c r="K71" i="8" s="1"/>
  <c r="D46" i="8"/>
  <c r="E45" i="8"/>
  <c r="J50" i="8"/>
  <c r="M47" i="8"/>
  <c r="G48" i="8"/>
  <c r="K40" i="8"/>
  <c r="O54" i="8"/>
  <c r="L60" i="8"/>
  <c r="J59" i="8"/>
  <c r="G36" i="8"/>
  <c r="O52" i="8"/>
  <c r="J41" i="8"/>
  <c r="E54" i="8"/>
  <c r="K41" i="8"/>
  <c r="F58" i="8"/>
  <c r="D39" i="8"/>
  <c r="D65" i="8"/>
  <c r="O58" i="8"/>
  <c r="C45" i="8"/>
  <c r="L37" i="8"/>
  <c r="I62" i="8"/>
  <c r="J65" i="8"/>
  <c r="L42" i="8"/>
  <c r="F44" i="8"/>
  <c r="C44" i="8"/>
  <c r="H64" i="8"/>
  <c r="F63" i="8"/>
  <c r="I42" i="8"/>
  <c r="N46" i="8"/>
  <c r="F45" i="8"/>
  <c r="K45" i="8"/>
  <c r="E36" i="8"/>
  <c r="I43" i="8"/>
  <c r="C63" i="8"/>
  <c r="C37" i="8"/>
  <c r="I51" i="8"/>
  <c r="K65" i="8"/>
  <c r="I64" i="8"/>
  <c r="L43" i="8"/>
  <c r="L56" i="8"/>
  <c r="I46" i="8"/>
  <c r="F54" i="8"/>
  <c r="M61" i="8"/>
  <c r="I53" i="8"/>
  <c r="H56" i="8"/>
  <c r="D43" i="8"/>
  <c r="I50" i="8"/>
  <c r="E51" i="8"/>
  <c r="N43" i="8"/>
  <c r="G61" i="8"/>
  <c r="L41" i="8"/>
  <c r="K43" i="8"/>
  <c r="I61" i="8"/>
  <c r="F53" i="8"/>
  <c r="G65" i="8"/>
  <c r="I60" i="8"/>
  <c r="N49" i="8"/>
  <c r="H47" i="8"/>
  <c r="D51" i="8"/>
  <c r="E48" i="8"/>
  <c r="E50" i="8"/>
  <c r="I80" i="8"/>
  <c r="I98" i="8"/>
  <c r="O75" i="8"/>
  <c r="L78" i="8"/>
  <c r="K96" i="8"/>
  <c r="J98" i="8"/>
  <c r="L73" i="8"/>
  <c r="G92" i="8"/>
  <c r="N92" i="8"/>
  <c r="C69" i="8"/>
  <c r="C69" i="8" a="1"/>
  <c r="C77" i="8" s="1"/>
  <c r="F79" i="8"/>
  <c r="H82" i="8"/>
  <c r="C97" i="8"/>
  <c r="J70" i="8"/>
  <c r="K90" i="8"/>
  <c r="L79" i="8"/>
  <c r="F69" i="8"/>
  <c r="G95" i="8"/>
  <c r="Q7" i="2"/>
  <c r="Q11" i="2"/>
  <c r="Q15" i="2"/>
  <c r="Q13" i="2"/>
  <c r="Q6" i="2"/>
  <c r="Q10" i="2"/>
  <c r="Q14" i="2"/>
  <c r="Q8" i="2"/>
  <c r="Q12" i="2"/>
  <c r="Q16" i="2"/>
  <c r="Q5" i="2"/>
  <c r="Q9" i="2"/>
  <c r="N73" i="8"/>
  <c r="C89" i="8"/>
  <c r="D85" i="8"/>
  <c r="L92" i="8"/>
  <c r="J69" i="8"/>
  <c r="M87" i="8"/>
  <c r="F96" i="8"/>
  <c r="I75" i="8"/>
  <c r="C70" i="8"/>
  <c r="I84" i="8"/>
  <c r="M94" i="8"/>
  <c r="I86" i="8"/>
  <c r="L74" i="8"/>
  <c r="K76" i="8"/>
  <c r="D84" i="8"/>
  <c r="E81" i="8"/>
  <c r="H86" i="8"/>
  <c r="N93" i="8"/>
  <c r="G72" i="8"/>
  <c r="K69" i="8"/>
  <c r="L72" i="8"/>
  <c r="O79" i="8"/>
  <c r="C94" i="8"/>
  <c r="C74" i="8"/>
  <c r="L88" i="8"/>
  <c r="J90" i="8"/>
  <c r="M93" i="8"/>
  <c r="C73" i="8"/>
  <c r="J94" i="8"/>
  <c r="C90" i="8"/>
  <c r="L77" i="8"/>
  <c r="J76" i="8"/>
  <c r="L94" i="8"/>
  <c r="L85" i="8"/>
  <c r="C95" i="8"/>
  <c r="O98" i="8"/>
  <c r="M77" i="8"/>
  <c r="F85" i="8"/>
  <c r="O86" i="8"/>
  <c r="N88" i="8"/>
  <c r="O77" i="8"/>
  <c r="M71" i="8"/>
  <c r="O81" i="8"/>
  <c r="M73" i="8"/>
  <c r="E71" i="8"/>
  <c r="K91" i="8"/>
  <c r="I81" i="8"/>
  <c r="O88" i="8"/>
  <c r="D93" i="8"/>
  <c r="D69" i="8"/>
  <c r="F94" i="8" l="1"/>
  <c r="C91" i="8"/>
  <c r="F97" i="8"/>
  <c r="K82" i="8"/>
  <c r="E80" i="8"/>
  <c r="F76" i="8"/>
  <c r="L80" i="8"/>
  <c r="D75" i="8"/>
  <c r="O78" i="8"/>
  <c r="H94" i="8"/>
  <c r="D83" i="8"/>
  <c r="M70" i="8"/>
  <c r="M75" i="8"/>
  <c r="O94" i="8"/>
  <c r="E92" i="8"/>
  <c r="M95" i="8"/>
  <c r="J71" i="8"/>
  <c r="M88" i="8"/>
  <c r="N97" i="8"/>
  <c r="I93" i="8"/>
  <c r="E84" i="8"/>
  <c r="L89" i="8"/>
  <c r="E69" i="8"/>
  <c r="G76" i="8"/>
  <c r="J82" i="8"/>
  <c r="I70" i="8"/>
  <c r="L83" i="8"/>
  <c r="L87" i="8"/>
  <c r="H90" i="8"/>
  <c r="H88" i="8"/>
  <c r="E96" i="8"/>
  <c r="C76" i="8"/>
  <c r="F82" i="8"/>
  <c r="I92" i="8"/>
  <c r="D98" i="8"/>
  <c r="K97" i="8"/>
  <c r="I77" i="8"/>
  <c r="E86" i="8"/>
  <c r="G93" i="8"/>
  <c r="F72" i="8"/>
  <c r="F74" i="8"/>
  <c r="I89" i="8"/>
  <c r="I88" i="8"/>
  <c r="L91" i="8"/>
  <c r="N91" i="8"/>
  <c r="D97" i="8"/>
  <c r="K81" i="8"/>
  <c r="C79" i="8"/>
  <c r="G84" i="8"/>
  <c r="L96" i="8"/>
  <c r="K79" i="8"/>
  <c r="C84" i="8"/>
  <c r="K72" i="8"/>
  <c r="N90" i="8"/>
  <c r="C92" i="8"/>
  <c r="H79" i="8"/>
  <c r="E89" i="8"/>
  <c r="G87" i="8"/>
  <c r="D71" i="8"/>
  <c r="J86" i="8"/>
  <c r="G98" i="8"/>
  <c r="I83" i="8"/>
  <c r="L76" i="8"/>
  <c r="K78" i="8"/>
  <c r="K95" i="8"/>
  <c r="J89" i="8"/>
  <c r="C72" i="8"/>
  <c r="O90" i="8"/>
  <c r="O82" i="8"/>
  <c r="F80" i="8"/>
  <c r="N78" i="8"/>
  <c r="G71" i="8"/>
  <c r="K80" i="8"/>
  <c r="C93" i="8"/>
  <c r="H71" i="8"/>
  <c r="J88" i="8"/>
  <c r="J74" i="8"/>
  <c r="I71" i="8"/>
  <c r="G79" i="8"/>
  <c r="H96" i="8"/>
  <c r="E79" i="8"/>
  <c r="F93" i="8"/>
  <c r="M97" i="8"/>
  <c r="J78" i="8"/>
  <c r="N86" i="8"/>
  <c r="N77" i="8"/>
  <c r="N80" i="8"/>
  <c r="E74" i="8"/>
  <c r="H91" i="8"/>
  <c r="M80" i="8"/>
  <c r="M85" i="8"/>
  <c r="J92" i="8"/>
  <c r="N95" i="8"/>
  <c r="L69" i="8"/>
  <c r="J73" i="8"/>
  <c r="E75" i="8"/>
  <c r="G91" i="8"/>
  <c r="D88" i="8"/>
  <c r="G80" i="8"/>
  <c r="H83" i="8"/>
  <c r="F95" i="8"/>
  <c r="O74" i="8"/>
  <c r="I87" i="8"/>
  <c r="D95" i="8"/>
  <c r="G97" i="8"/>
  <c r="J87" i="8"/>
  <c r="D86" i="8"/>
  <c r="H80" i="8"/>
  <c r="F86" i="8"/>
  <c r="G94" i="8"/>
  <c r="D76" i="8"/>
  <c r="F87" i="8"/>
  <c r="I97" i="8"/>
  <c r="C96" i="8"/>
  <c r="F78" i="8"/>
  <c r="D89" i="8"/>
  <c r="K85" i="8"/>
  <c r="O93" i="8"/>
  <c r="K92" i="8"/>
  <c r="N83" i="8"/>
  <c r="E85" i="8"/>
  <c r="H73" i="8"/>
  <c r="O70" i="8"/>
  <c r="O73" i="8"/>
  <c r="L98" i="8"/>
  <c r="N89" i="8"/>
  <c r="H81" i="8"/>
  <c r="K83" i="8"/>
  <c r="O84" i="8"/>
  <c r="G75" i="8"/>
  <c r="M86" i="8"/>
  <c r="J77" i="8"/>
  <c r="D96" i="8"/>
  <c r="J81" i="8"/>
  <c r="G96" i="8"/>
  <c r="I96" i="8"/>
  <c r="O95" i="8"/>
  <c r="H92" i="8"/>
  <c r="N74" i="8"/>
  <c r="F89" i="8"/>
  <c r="I74" i="8"/>
  <c r="N75" i="8"/>
  <c r="O89" i="8"/>
  <c r="O83" i="8"/>
  <c r="J91" i="8"/>
  <c r="N84" i="8"/>
  <c r="I91" i="8"/>
  <c r="I95" i="8"/>
  <c r="D72" i="8"/>
  <c r="G69" i="8"/>
  <c r="Q69" i="8" s="1"/>
  <c r="E78" i="8"/>
  <c r="N96" i="8"/>
  <c r="M78" i="8"/>
  <c r="N69" i="8"/>
  <c r="L82" i="8"/>
  <c r="G88" i="8"/>
  <c r="E90" i="8"/>
  <c r="L70" i="8"/>
  <c r="O87" i="8"/>
  <c r="G74" i="8"/>
  <c r="N98" i="8"/>
  <c r="O72" i="8"/>
  <c r="E97" i="8"/>
  <c r="F88" i="8"/>
  <c r="C81" i="8"/>
  <c r="D91" i="8"/>
  <c r="E93" i="8"/>
  <c r="I73" i="8"/>
  <c r="E88" i="8"/>
  <c r="N85" i="8"/>
  <c r="D73" i="8"/>
  <c r="K84" i="8"/>
  <c r="M90" i="8"/>
  <c r="L97" i="8"/>
  <c r="D90" i="8"/>
  <c r="I69" i="8"/>
  <c r="L84" i="8"/>
  <c r="G73" i="8"/>
  <c r="O76" i="8"/>
  <c r="C87" i="8"/>
  <c r="D82" i="8"/>
  <c r="G86" i="8"/>
  <c r="G85" i="8"/>
  <c r="C82" i="8"/>
  <c r="N72" i="8"/>
  <c r="D87" i="8"/>
  <c r="E70" i="8"/>
  <c r="J97" i="8"/>
  <c r="O80" i="8"/>
  <c r="K87" i="8"/>
  <c r="L90" i="8"/>
  <c r="F98" i="8"/>
  <c r="E83" i="8"/>
  <c r="N82" i="8"/>
  <c r="I94" i="8"/>
  <c r="N76" i="8"/>
  <c r="H89" i="8"/>
  <c r="I79" i="8"/>
  <c r="K98" i="8"/>
  <c r="I76" i="8"/>
  <c r="N79" i="8"/>
  <c r="E77" i="8"/>
  <c r="N87" i="8"/>
  <c r="K86" i="8"/>
  <c r="C98" i="8"/>
  <c r="H76" i="8"/>
  <c r="J95" i="8"/>
  <c r="F92" i="8"/>
  <c r="M74" i="8"/>
  <c r="I72" i="8"/>
  <c r="G78" i="8"/>
  <c r="I90" i="8"/>
  <c r="G83" i="8"/>
  <c r="H95" i="8"/>
  <c r="M79" i="8"/>
  <c r="D92" i="8"/>
  <c r="L86" i="8"/>
  <c r="M69" i="8"/>
  <c r="F83" i="8"/>
  <c r="D74" i="8"/>
  <c r="L95" i="8"/>
  <c r="F81" i="8"/>
  <c r="C88" i="8"/>
  <c r="J75" i="8"/>
  <c r="K77" i="8"/>
  <c r="I82" i="8"/>
  <c r="H75" i="8"/>
  <c r="O69" i="8"/>
  <c r="E72" i="8"/>
  <c r="H97" i="8"/>
  <c r="C83" i="8"/>
  <c r="J80" i="8"/>
  <c r="M81" i="8"/>
  <c r="C78" i="8"/>
  <c r="F91" i="8"/>
  <c r="L93" i="8"/>
  <c r="D79" i="8"/>
  <c r="G89" i="8"/>
  <c r="E95" i="8"/>
  <c r="J96" i="8"/>
  <c r="M82" i="8"/>
  <c r="G82" i="8"/>
  <c r="H69" i="8"/>
  <c r="K74" i="8"/>
  <c r="G81" i="8"/>
  <c r="M92" i="8"/>
  <c r="H87" i="8"/>
  <c r="F90" i="8"/>
  <c r="H78" i="8"/>
  <c r="D78" i="8"/>
  <c r="K94" i="8"/>
  <c r="I85" i="8"/>
  <c r="D94" i="8"/>
  <c r="J85" i="8"/>
  <c r="H74" i="8"/>
  <c r="F71" i="8"/>
  <c r="C71" i="8"/>
  <c r="I78" i="8"/>
  <c r="H72" i="8"/>
  <c r="K88" i="8"/>
  <c r="G70" i="8"/>
  <c r="M76" i="8"/>
  <c r="J72" i="8"/>
  <c r="G77" i="8"/>
  <c r="H70" i="8"/>
  <c r="E98" i="8"/>
  <c r="G90" i="8"/>
  <c r="L75" i="8"/>
  <c r="D80" i="8"/>
  <c r="N81" i="8"/>
  <c r="D70" i="8"/>
  <c r="F75" i="8"/>
  <c r="E76" i="8"/>
  <c r="M89" i="8"/>
  <c r="M83" i="8"/>
  <c r="M96" i="8"/>
  <c r="E94" i="8"/>
  <c r="D77" i="8"/>
  <c r="K93" i="8"/>
  <c r="F73" i="8"/>
  <c r="E82" i="8"/>
  <c r="E73" i="8"/>
  <c r="C75" i="8"/>
  <c r="M84" i="8"/>
  <c r="F77" i="8"/>
  <c r="O91" i="8"/>
  <c r="E87" i="8"/>
  <c r="K73" i="8"/>
  <c r="M72" i="8"/>
  <c r="N71" i="8"/>
  <c r="K89" i="8"/>
  <c r="H84" i="8"/>
  <c r="J79" i="8"/>
  <c r="L71" i="8"/>
  <c r="O96" i="8"/>
  <c r="O85" i="8"/>
  <c r="J83" i="8"/>
  <c r="J93" i="8"/>
  <c r="K70" i="8"/>
  <c r="C85" i="8"/>
  <c r="H77" i="8"/>
  <c r="H85" i="8"/>
  <c r="K75" i="8"/>
  <c r="D81" i="8"/>
  <c r="N94" i="8"/>
  <c r="F70" i="8"/>
  <c r="L81" i="8"/>
  <c r="O71" i="8"/>
  <c r="O97" i="8"/>
  <c r="H93" i="8"/>
  <c r="C86" i="8"/>
  <c r="H98" i="8"/>
  <c r="E91" i="8"/>
  <c r="J84" i="8"/>
  <c r="C80" i="8"/>
  <c r="M98" i="8"/>
  <c r="N70" i="8"/>
  <c r="F84" i="8"/>
  <c r="O92" i="8"/>
  <c r="M91" i="8"/>
  <c r="Q93" i="8" l="1"/>
  <c r="Q70" i="8"/>
  <c r="Q91" i="8"/>
  <c r="Q71" i="8"/>
  <c r="Q94" i="8"/>
  <c r="Q98" i="8"/>
  <c r="Q84" i="8"/>
  <c r="Q74" i="8"/>
  <c r="Q92" i="8"/>
  <c r="Q87" i="8"/>
  <c r="Q89" i="8"/>
  <c r="Q95" i="8"/>
  <c r="Q76" i="8"/>
  <c r="Q79" i="8"/>
  <c r="Q81" i="8"/>
  <c r="Q72" i="8"/>
  <c r="Q85" i="8"/>
  <c r="Q82" i="8"/>
  <c r="Q80" i="8"/>
  <c r="Q86" i="8"/>
  <c r="Q75" i="8"/>
  <c r="Q83" i="8"/>
  <c r="Q88" i="8"/>
  <c r="Q90" i="8"/>
  <c r="Q73" i="8"/>
  <c r="Q97" i="8"/>
  <c r="Q77" i="8"/>
  <c r="Q78" i="8"/>
  <c r="Q96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<sst xmlns="http://schemas.openxmlformats.org/spreadsheetml/2006/main" count="123" uniqueCount="70">
  <si>
    <t>Sample</t>
  </si>
  <si>
    <t>eigenvalue</t>
  </si>
  <si>
    <t>max</t>
  </si>
  <si>
    <t xml:space="preserve">Normalized </t>
  </si>
  <si>
    <t>Samples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</si>
  <si>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</si>
  <si>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</si>
  <si>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</si>
  <si>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</si>
  <si>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</si>
  <si>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</si>
  <si>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</si>
  <si>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</si>
  <si>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</si>
  <si>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</si>
  <si>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</si>
  <si>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</si>
  <si>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</si>
  <si>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</si>
  <si>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</si>
  <si>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</si>
  <si>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</si>
  <si>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</si>
  <si>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</si>
  <si>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</si>
  <si>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</si>
  <si>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</si>
  <si>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</si>
  <si>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</si>
  <si>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</si>
  <si>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</si>
  <si>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avg</t>
  </si>
  <si>
    <t>std</t>
  </si>
  <si>
    <t>PC</t>
  </si>
  <si>
    <t>Transposed Selected Eigenvector</t>
  </si>
  <si>
    <t>Normalized Data</t>
  </si>
  <si>
    <t>T2</t>
  </si>
  <si>
    <t>STEP 4</t>
  </si>
  <si>
    <t>A=</t>
  </si>
  <si>
    <t>T^2</t>
  </si>
  <si>
    <t xml:space="preserve">Control limit </t>
  </si>
  <si>
    <t>Warning limit</t>
  </si>
  <si>
    <t>n=</t>
  </si>
  <si>
    <t>a=</t>
  </si>
  <si>
    <t>0.05,0.01</t>
  </si>
  <si>
    <t>From F distribution</t>
  </si>
  <si>
    <t>T^2 Limit</t>
  </si>
  <si>
    <t>F5,26,0.05=</t>
  </si>
  <si>
    <t>Control limit</t>
  </si>
  <si>
    <t>F5,26,0.01=</t>
  </si>
  <si>
    <t>Eigenvalues</t>
  </si>
  <si>
    <t>SPE</t>
  </si>
  <si>
    <t>=&gt; Selected eigenvector based on thresold</t>
  </si>
  <si>
    <t>X̆</t>
  </si>
  <si>
    <t>X</t>
  </si>
  <si>
    <t>P= X̆, normalized mean * V, Selected Eigenvectors</t>
  </si>
  <si>
    <t xml:space="preserve"> Selected Eigenvalues</t>
  </si>
  <si>
    <t>E = X̆ - X̂</t>
  </si>
  <si>
    <t>E = X̆ - PVt</t>
  </si>
  <si>
    <t>PVt = Multivariate Scores x Transposed Selected Eigenvectors</t>
  </si>
  <si>
    <t>=&gt; Shows the magnitude of deviation from centre of multivariate data</t>
  </si>
  <si>
    <t>original</t>
  </si>
  <si>
    <t>Original Matlab</t>
  </si>
  <si>
    <t>Python Formulation</t>
  </si>
  <si>
    <t>python</t>
  </si>
  <si>
    <t>matlab</t>
  </si>
  <si>
    <t>original matlab</t>
  </si>
  <si>
    <t>Error</t>
  </si>
  <si>
    <t>SPE (Python)</t>
  </si>
  <si>
    <t>SPE (Matlab)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</si>
</sst>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0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/>
    <xf numFmtId="2" fontId="0" fillId="0" borderId="0" xfId="0" applyNumberFormat="1"/>
    <xf numFmtId="0" fontId="0" fillId="0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2" fillId="3" borderId="0" xfId="0" applyFont="1" applyFill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/>
    <xf numFmtId="9" fontId="0" fillId="5" borderId="1" xfId="0" applyNumberFormat="1" applyFill="1" applyBorder="1"/>
    <xf numFmtId="9" fontId="0" fillId="5" borderId="0" xfId="0" applyNumberFormat="1" applyFill="1"/>
    <xf numFmtId="9" fontId="0" fillId="0" borderId="1" xfId="0" applyNumberFormat="1" applyBorder="1" applyAlignment="1">
      <alignment horizontal="center"/>
    </xf>
    <xf numFmtId="0" fontId="0" fillId="0" borderId="0" xfId="0" quotePrefix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Fill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1" xfId="0" applyBorder="1" applyAlignment="1">
      <alignment horizontal="center"/>
    </xf>
    <xf numFmtId="164" fontId="10" fillId="0" borderId="0" xfId="0" applyNumberFormat="1" applyFont="1"/>
    <xf numFmtId="164" fontId="0" fillId="0" borderId="0" xfId="0" applyNumberFormat="1"/>
    <xf numFmtId="0" fontId="11" fillId="2" borderId="0" xfId="0" applyFont="1" applyFill="1"/>
    <xf numFmtId="0" fontId="11" fillId="0" borderId="0" xfId="0" applyFont="1"/>
    <xf numFmtId="9" fontId="0" fillId="0" borderId="1" xfId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Variance Accumulated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 -Eiegenvalues'!$Q$4:$Q$16</c:f>
              <c:numCache>
                <c:formatCode>General</c:formatCode>
                <c:ptCount val="13"/>
                <c:pt idx="0">
                  <c:v>0.31253955150985208</c:v>
                </c:pt>
                <c:pt idx="1">
                  <c:v>0.47949008226380041</c:v>
                </c:pt>
                <c:pt idx="2">
                  <c:v>0.60263323917560496</c:v>
                </c:pt>
                <c:pt idx="3">
                  <c:v>0.70397735762786651</c:v>
                </c:pt>
                <c:pt idx="4">
                  <c:v>0.79122125377372654</c:v>
                </c:pt>
                <c:pt idx="5">
                  <c:v>0.86303167107484546</c:v>
                </c:pt>
                <c:pt idx="6">
                  <c:v>0.91253858607031357</c:v>
                </c:pt>
                <c:pt idx="7">
                  <c:v>0.95782230945078384</c:v>
                </c:pt>
                <c:pt idx="8">
                  <c:v>0.98437924890989137</c:v>
                </c:pt>
                <c:pt idx="9">
                  <c:v>0.99587374867806999</c:v>
                </c:pt>
                <c:pt idx="10">
                  <c:v>0.99608517354651216</c:v>
                </c:pt>
                <c:pt idx="11">
                  <c:v>0.99826409327708188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03-4287-99A7-6B6915D6C662}"/>
            </c:ext>
          </c:extLst>
        </c:ser>
        <c:ser>
          <c:idx val="1"/>
          <c:order val="1"/>
          <c:tx>
            <c:v>80% Thresold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 -Eiegenvalues'!$R$4:$R$16</c:f>
              <c:numCache>
                <c:formatCode>General</c:formatCode>
                <c:ptCount val="13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03-4287-99A7-6B6915D6C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147503"/>
        <c:axId val="1915796063"/>
      </c:lineChart>
      <c:catAx>
        <c:axId val="1921147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796063"/>
        <c:crosses val="autoZero"/>
        <c:auto val="1"/>
        <c:lblAlgn val="ctr"/>
        <c:lblOffset val="100"/>
        <c:noMultiLvlLbl val="0"/>
      </c:catAx>
      <c:valAx>
        <c:axId val="191579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14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PCA BASED MSPM MONITORING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'Step 4 - T2'!$I$3</c:f>
              <c:strCache>
                <c:ptCount val="1"/>
                <c:pt idx="0">
                  <c:v>T^2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'Step 4 - T2'!$H$4:$H$33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'Step 4 - T2'!$I$4:$I$33</c:f>
              <c:numCache>
                <c:formatCode>General</c:formatCode>
                <c:ptCount val="30"/>
                <c:pt idx="0">
                  <c:v>0.99555931979331203</c:v>
                </c:pt>
                <c:pt idx="1">
                  <c:v>4.5543097256426472</c:v>
                </c:pt>
                <c:pt idx="2">
                  <c:v>7.4583683050053962</c:v>
                </c:pt>
                <c:pt idx="3">
                  <c:v>7.9314695727041222</c:v>
                </c:pt>
                <c:pt idx="4">
                  <c:v>5.891515445243277</c:v>
                </c:pt>
                <c:pt idx="5">
                  <c:v>6.3853817122825696</c:v>
                </c:pt>
                <c:pt idx="6">
                  <c:v>3.3589200156335064</c:v>
                </c:pt>
                <c:pt idx="7">
                  <c:v>2.6814573895144798</c:v>
                </c:pt>
                <c:pt idx="8">
                  <c:v>5.0869598403885687</c:v>
                </c:pt>
                <c:pt idx="9">
                  <c:v>5.3206760023134363</c:v>
                </c:pt>
                <c:pt idx="10">
                  <c:v>3.0582490409744834</c:v>
                </c:pt>
                <c:pt idx="11">
                  <c:v>5.951690385252502</c:v>
                </c:pt>
                <c:pt idx="12">
                  <c:v>5.1234342210852617</c:v>
                </c:pt>
                <c:pt idx="13">
                  <c:v>3.9186798175373343</c:v>
                </c:pt>
                <c:pt idx="14">
                  <c:v>0.82620490452511064</c:v>
                </c:pt>
                <c:pt idx="15">
                  <c:v>3.4940942181126862</c:v>
                </c:pt>
                <c:pt idx="16">
                  <c:v>4.15057519956504</c:v>
                </c:pt>
                <c:pt idx="17">
                  <c:v>4.5114351825813372</c:v>
                </c:pt>
                <c:pt idx="18">
                  <c:v>4.9102017469186068</c:v>
                </c:pt>
                <c:pt idx="19">
                  <c:v>3.8952782606378236</c:v>
                </c:pt>
                <c:pt idx="20">
                  <c:v>3.0386044550692501</c:v>
                </c:pt>
                <c:pt idx="21">
                  <c:v>2.3512117274090918</c:v>
                </c:pt>
                <c:pt idx="22">
                  <c:v>6.4543923719239862</c:v>
                </c:pt>
                <c:pt idx="23">
                  <c:v>3.217352435865084</c:v>
                </c:pt>
                <c:pt idx="24">
                  <c:v>8.0064294593538232</c:v>
                </c:pt>
                <c:pt idx="25">
                  <c:v>10.392250340408625</c:v>
                </c:pt>
                <c:pt idx="26">
                  <c:v>0.89368228620475154</c:v>
                </c:pt>
                <c:pt idx="27">
                  <c:v>5.3172718622767645</c:v>
                </c:pt>
                <c:pt idx="28">
                  <c:v>8.2217905546668515</c:v>
                </c:pt>
                <c:pt idx="29">
                  <c:v>7.6028096596188819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C0-426B-948E-80A634E6F1AC}"/>
            </c:ext>
          </c:extLst>
        </c:ser>
        <c:ser>
          <c:idx val="1"/>
          <c:order val="1"/>
          <c:tx>
            <c:strRef>
              <c:f>'Step 4 - T2'!$J$3</c:f>
              <c:strCache>
                <c:ptCount val="1"/>
                <c:pt idx="0">
                  <c:v>Control limit 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'Step 4 - T2'!$H$4:$H$33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'Step 4 - T2'!$J$4:$J$33</c:f>
              <c:numCache>
                <c:formatCode>General</c:formatCode>
                <c:ptCount val="30"/>
                <c:pt idx="0">
                  <c:v>22.919999999999998</c:v>
                </c:pt>
                <c:pt idx="1">
                  <c:v>22.919999999999998</c:v>
                </c:pt>
                <c:pt idx="2">
                  <c:v>22.919999999999998</c:v>
                </c:pt>
                <c:pt idx="3">
                  <c:v>22.919999999999998</c:v>
                </c:pt>
                <c:pt idx="4">
                  <c:v>22.919999999999998</c:v>
                </c:pt>
                <c:pt idx="5">
                  <c:v>22.919999999999998</c:v>
                </c:pt>
                <c:pt idx="6">
                  <c:v>22.919999999999998</c:v>
                </c:pt>
                <c:pt idx="7">
                  <c:v>22.919999999999998</c:v>
                </c:pt>
                <c:pt idx="8">
                  <c:v>22.919999999999998</c:v>
                </c:pt>
                <c:pt idx="9">
                  <c:v>22.919999999999998</c:v>
                </c:pt>
                <c:pt idx="10">
                  <c:v>22.919999999999998</c:v>
                </c:pt>
                <c:pt idx="11">
                  <c:v>22.919999999999998</c:v>
                </c:pt>
                <c:pt idx="12">
                  <c:v>22.919999999999998</c:v>
                </c:pt>
                <c:pt idx="13">
                  <c:v>22.919999999999998</c:v>
                </c:pt>
                <c:pt idx="14">
                  <c:v>22.919999999999998</c:v>
                </c:pt>
                <c:pt idx="15">
                  <c:v>22.919999999999998</c:v>
                </c:pt>
                <c:pt idx="16">
                  <c:v>22.919999999999998</c:v>
                </c:pt>
                <c:pt idx="17">
                  <c:v>22.919999999999998</c:v>
                </c:pt>
                <c:pt idx="18">
                  <c:v>22.919999999999998</c:v>
                </c:pt>
                <c:pt idx="19">
                  <c:v>22.919999999999998</c:v>
                </c:pt>
                <c:pt idx="20">
                  <c:v>22.919999999999998</c:v>
                </c:pt>
                <c:pt idx="21">
                  <c:v>22.919999999999998</c:v>
                </c:pt>
                <c:pt idx="22">
                  <c:v>22.919999999999998</c:v>
                </c:pt>
                <c:pt idx="23">
                  <c:v>22.919999999999998</c:v>
                </c:pt>
                <c:pt idx="24">
                  <c:v>22.919999999999998</c:v>
                </c:pt>
                <c:pt idx="25">
                  <c:v>22.919999999999998</c:v>
                </c:pt>
                <c:pt idx="26">
                  <c:v>22.919999999999998</c:v>
                </c:pt>
                <c:pt idx="27">
                  <c:v>22.919999999999998</c:v>
                </c:pt>
                <c:pt idx="28">
                  <c:v>22.919999999999998</c:v>
                </c:pt>
                <c:pt idx="29">
                  <c:v>22.919999999999998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C0-426B-948E-80A634E6F1AC}"/>
            </c:ext>
          </c:extLst>
        </c:ser>
        <c:ser>
          <c:idx val="2"/>
          <c:order val="2"/>
          <c:tx>
            <c:strRef>
              <c:f>'Step 4 - T2'!$K$3</c:f>
              <c:strCache>
                <c:ptCount val="1"/>
                <c:pt idx="0">
                  <c:v>Warning limit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'Step 4 - T2'!$H$4:$H$33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'Step 4 - T2'!$K$4:$K$33</c:f>
              <c:numCache>
                <c:formatCode>General</c:formatCode>
                <c:ptCount val="30"/>
                <c:pt idx="0">
                  <c:v>15.54</c:v>
                </c:pt>
                <c:pt idx="1">
                  <c:v>15.54</c:v>
                </c:pt>
                <c:pt idx="2">
                  <c:v>15.54</c:v>
                </c:pt>
                <c:pt idx="3">
                  <c:v>15.54</c:v>
                </c:pt>
                <c:pt idx="4">
                  <c:v>15.54</c:v>
                </c:pt>
                <c:pt idx="5">
                  <c:v>15.54</c:v>
                </c:pt>
                <c:pt idx="6">
                  <c:v>15.54</c:v>
                </c:pt>
                <c:pt idx="7">
                  <c:v>15.54</c:v>
                </c:pt>
                <c:pt idx="8">
                  <c:v>15.54</c:v>
                </c:pt>
                <c:pt idx="9">
                  <c:v>15.54</c:v>
                </c:pt>
                <c:pt idx="10">
                  <c:v>15.54</c:v>
                </c:pt>
                <c:pt idx="11">
                  <c:v>15.54</c:v>
                </c:pt>
                <c:pt idx="12">
                  <c:v>15.54</c:v>
                </c:pt>
                <c:pt idx="13">
                  <c:v>15.54</c:v>
                </c:pt>
                <c:pt idx="14">
                  <c:v>15.54</c:v>
                </c:pt>
                <c:pt idx="15">
                  <c:v>15.54</c:v>
                </c:pt>
                <c:pt idx="16">
                  <c:v>15.54</c:v>
                </c:pt>
                <c:pt idx="17">
                  <c:v>15.54</c:v>
                </c:pt>
                <c:pt idx="18">
                  <c:v>15.54</c:v>
                </c:pt>
                <c:pt idx="19">
                  <c:v>15.54</c:v>
                </c:pt>
                <c:pt idx="20">
                  <c:v>15.54</c:v>
                </c:pt>
                <c:pt idx="21">
                  <c:v>15.54</c:v>
                </c:pt>
                <c:pt idx="22">
                  <c:v>15.54</c:v>
                </c:pt>
                <c:pt idx="23">
                  <c:v>15.54</c:v>
                </c:pt>
                <c:pt idx="24">
                  <c:v>15.54</c:v>
                </c:pt>
                <c:pt idx="25">
                  <c:v>15.54</c:v>
                </c:pt>
                <c:pt idx="26">
                  <c:v>15.54</c:v>
                </c:pt>
                <c:pt idx="27">
                  <c:v>15.54</c:v>
                </c:pt>
                <c:pt idx="28">
                  <c:v>15.54</c:v>
                </c:pt>
                <c:pt idx="29">
                  <c:v>15.54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EC0-426B-948E-80A634E6F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173647"/>
        <c:axId val="1759174063"/>
      </c:scatterChart>
      <c:valAx>
        <c:axId val="175917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74063"/>
        <c:crosses val="autoZero"/>
        <c:crossBetween val="midCat"/>
      </c:valAx>
      <c:valAx>
        <c:axId val="175917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T^2 Statistics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73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PCA BASED MSPM MONITORING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'Step 4 - SPE'!$I$6</c:f>
              <c:strCache>
                <c:ptCount val="1"/>
                <c:pt idx="0">
                  <c:v>SPE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'Step 4 - SPE'!$H$7:$H$37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'Step 4 - SPE'!$I$7:$I$37</c:f>
              <c:numCache>
                <c:formatCode>General</c:formatCode>
                <c:ptCount val="31"/>
                <c:pt idx="0">
                  <c:v>3.5071222588134212</c:v>
                </c:pt>
                <c:pt idx="1">
                  <c:v>1.4549679362814603</c:v>
                </c:pt>
                <c:pt idx="2">
                  <c:v>3.1478782551134143</c:v>
                </c:pt>
                <c:pt idx="3">
                  <c:v>1.4112024656700037</c:v>
                </c:pt>
                <c:pt idx="4">
                  <c:v>1.3440523689363422</c:v>
                </c:pt>
                <c:pt idx="5">
                  <c:v>2.9687721442469699</c:v>
                </c:pt>
                <c:pt idx="6">
                  <c:v>4.1933516544757587</c:v>
                </c:pt>
                <c:pt idx="7">
                  <c:v>1.9578891322207834</c:v>
                </c:pt>
                <c:pt idx="8">
                  <c:v>1.1321103756579545</c:v>
                </c:pt>
                <c:pt idx="9">
                  <c:v>3.6118067412798665</c:v>
                </c:pt>
                <c:pt idx="10">
                  <c:v>2.9541923390532911</c:v>
                </c:pt>
                <c:pt idx="11">
                  <c:v>1.3311695678172561</c:v>
                </c:pt>
                <c:pt idx="12">
                  <c:v>1.4598195264278639</c:v>
                </c:pt>
                <c:pt idx="13">
                  <c:v>2.8832592891148221</c:v>
                </c:pt>
                <c:pt idx="14">
                  <c:v>2.3555819964768232</c:v>
                </c:pt>
                <c:pt idx="15">
                  <c:v>10.703734332287985</c:v>
                </c:pt>
                <c:pt idx="16">
                  <c:v>0.66840203657544239</c:v>
                </c:pt>
                <c:pt idx="17">
                  <c:v>4.853592837831207</c:v>
                </c:pt>
                <c:pt idx="18">
                  <c:v>1.0176629009015723</c:v>
                </c:pt>
                <c:pt idx="19">
                  <c:v>3.6526729742164252</c:v>
                </c:pt>
                <c:pt idx="20">
                  <c:v>4.5441367292129673</c:v>
                </c:pt>
                <c:pt idx="21">
                  <c:v>1.5855519501705246</c:v>
                </c:pt>
                <c:pt idx="22">
                  <c:v>1.8653288327449862</c:v>
                </c:pt>
                <c:pt idx="23">
                  <c:v>3.2322770400585372</c:v>
                </c:pt>
                <c:pt idx="24">
                  <c:v>0.22095459777883741</c:v>
                </c:pt>
                <c:pt idx="25">
                  <c:v>0.17050573530679783</c:v>
                </c:pt>
                <c:pt idx="26">
                  <c:v>2.3832379820083065</c:v>
                </c:pt>
                <c:pt idx="27">
                  <c:v>1.1149799057685956</c:v>
                </c:pt>
                <c:pt idx="28">
                  <c:v>4.0187746346950952</c:v>
                </c:pt>
                <c:pt idx="29">
                  <c:v>2.9645994006848491</c:v>
                </c:pt>
                <c:pt idx="30">
                  <c:v>2.4254104969023857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30-4688-8C53-71C4DECA6B65}"/>
            </c:ext>
          </c:extLst>
        </c:ser>
        <c:ser>
          <c:idx val="1"/>
          <c:order val="1"/>
          <c:tx>
            <c:strRef>
              <c:f>'Step 4 - SPE'!$J$6</c:f>
              <c:strCache>
                <c:ptCount val="1"/>
                <c:pt idx="0">
                  <c:v>Control limit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'Step 4 - SPE'!$H$7:$H$37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'Step 4 - SPE'!$J$7:$J$37</c:f>
              <c:numCache>
                <c:formatCode>General</c:formatCode>
                <c:ptCount val="31"/>
                <c:pt idx="0">
                  <c:v>11.775586555642477</c:v>
                </c:pt>
                <c:pt idx="1">
                  <c:v>11.775586555642477</c:v>
                </c:pt>
                <c:pt idx="2">
                  <c:v>11.775586555642477</c:v>
                </c:pt>
                <c:pt idx="3">
                  <c:v>11.775586555642477</c:v>
                </c:pt>
                <c:pt idx="4">
                  <c:v>11.775586555642477</c:v>
                </c:pt>
                <c:pt idx="5">
                  <c:v>11.775586555642477</c:v>
                </c:pt>
                <c:pt idx="6">
                  <c:v>11.775586555642477</c:v>
                </c:pt>
                <c:pt idx="7">
                  <c:v>11.775586555642477</c:v>
                </c:pt>
                <c:pt idx="8">
                  <c:v>11.775586555642477</c:v>
                </c:pt>
                <c:pt idx="9">
                  <c:v>11.775586555642477</c:v>
                </c:pt>
                <c:pt idx="10">
                  <c:v>11.775586555642477</c:v>
                </c:pt>
                <c:pt idx="11">
                  <c:v>11.775586555642477</c:v>
                </c:pt>
                <c:pt idx="12">
                  <c:v>11.775586555642477</c:v>
                </c:pt>
                <c:pt idx="13">
                  <c:v>11.775586555642477</c:v>
                </c:pt>
                <c:pt idx="14">
                  <c:v>11.775586555642477</c:v>
                </c:pt>
                <c:pt idx="15">
                  <c:v>11.775586555642477</c:v>
                </c:pt>
                <c:pt idx="16">
                  <c:v>11.775586555642477</c:v>
                </c:pt>
                <c:pt idx="17">
                  <c:v>11.775586555642477</c:v>
                </c:pt>
                <c:pt idx="18">
                  <c:v>11.775586555642477</c:v>
                </c:pt>
                <c:pt idx="19">
                  <c:v>11.775586555642477</c:v>
                </c:pt>
                <c:pt idx="20">
                  <c:v>11.775586555642477</c:v>
                </c:pt>
                <c:pt idx="21">
                  <c:v>11.775586555642477</c:v>
                </c:pt>
                <c:pt idx="22">
                  <c:v>11.775586555642477</c:v>
                </c:pt>
                <c:pt idx="23">
                  <c:v>11.775586555642477</c:v>
                </c:pt>
                <c:pt idx="24">
                  <c:v>11.775586555642477</c:v>
                </c:pt>
                <c:pt idx="25">
                  <c:v>11.775586555642477</c:v>
                </c:pt>
                <c:pt idx="26">
                  <c:v>11.775586555642477</c:v>
                </c:pt>
                <c:pt idx="27">
                  <c:v>11.775586555642477</c:v>
                </c:pt>
                <c:pt idx="28">
                  <c:v>11.775586555642477</c:v>
                </c:pt>
                <c:pt idx="29">
                  <c:v>11.775586555642477</c:v>
                </c:pt>
                <c:pt idx="30">
                  <c:v>11.775586555642477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30-4688-8C53-71C4DECA6B65}"/>
            </c:ext>
          </c:extLst>
        </c:ser>
        <c:ser>
          <c:idx val="2"/>
          <c:order val="2"/>
          <c:tx>
            <c:strRef>
              <c:f>'Step 4 - SPE'!$K$6</c:f>
              <c:strCache>
                <c:ptCount val="1"/>
                <c:pt idx="0">
                  <c:v>Warning limit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'Step 4 - SPE'!$H$7:$H$37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'Step 4 - SPE'!$K$7:$K$37</c:f>
              <c:numCache>
                <c:formatCode>General</c:formatCode>
                <c:ptCount val="31"/>
                <c:pt idx="0">
                  <c:v>11.38226970118221</c:v>
                </c:pt>
                <c:pt idx="1">
                  <c:v>11.38226970118221</c:v>
                </c:pt>
                <c:pt idx="2">
                  <c:v>11.38226970118221</c:v>
                </c:pt>
                <c:pt idx="3">
                  <c:v>11.38226970118221</c:v>
                </c:pt>
                <c:pt idx="4">
                  <c:v>11.38226970118221</c:v>
                </c:pt>
                <c:pt idx="5">
                  <c:v>11.38226970118221</c:v>
                </c:pt>
                <c:pt idx="6">
                  <c:v>11.38226970118221</c:v>
                </c:pt>
                <c:pt idx="7">
                  <c:v>11.38226970118221</c:v>
                </c:pt>
                <c:pt idx="8">
                  <c:v>11.38226970118221</c:v>
                </c:pt>
                <c:pt idx="9">
                  <c:v>11.38226970118221</c:v>
                </c:pt>
                <c:pt idx="10">
                  <c:v>11.38226970118221</c:v>
                </c:pt>
                <c:pt idx="11">
                  <c:v>11.38226970118221</c:v>
                </c:pt>
                <c:pt idx="12">
                  <c:v>11.38226970118221</c:v>
                </c:pt>
                <c:pt idx="13">
                  <c:v>11.38226970118221</c:v>
                </c:pt>
                <c:pt idx="14">
                  <c:v>11.38226970118221</c:v>
                </c:pt>
                <c:pt idx="15">
                  <c:v>11.38226970118221</c:v>
                </c:pt>
                <c:pt idx="16">
                  <c:v>11.38226970118221</c:v>
                </c:pt>
                <c:pt idx="17">
                  <c:v>11.38226970118221</c:v>
                </c:pt>
                <c:pt idx="18">
                  <c:v>11.38226970118221</c:v>
                </c:pt>
                <c:pt idx="19">
                  <c:v>11.38226970118221</c:v>
                </c:pt>
                <c:pt idx="20">
                  <c:v>11.38226970118221</c:v>
                </c:pt>
                <c:pt idx="21">
                  <c:v>11.38226970118221</c:v>
                </c:pt>
                <c:pt idx="22">
                  <c:v>11.38226970118221</c:v>
                </c:pt>
                <c:pt idx="23">
                  <c:v>11.38226970118221</c:v>
                </c:pt>
                <c:pt idx="24">
                  <c:v>11.38226970118221</c:v>
                </c:pt>
                <c:pt idx="25">
                  <c:v>11.38226970118221</c:v>
                </c:pt>
                <c:pt idx="26">
                  <c:v>11.38226970118221</c:v>
                </c:pt>
                <c:pt idx="27">
                  <c:v>11.38226970118221</c:v>
                </c:pt>
                <c:pt idx="28">
                  <c:v>11.38226970118221</c:v>
                </c:pt>
                <c:pt idx="29">
                  <c:v>11.38226970118221</c:v>
                </c:pt>
                <c:pt idx="30">
                  <c:v>11.38226970118221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30-4688-8C53-71C4DECA6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548191"/>
        <c:axId val="1747548607"/>
      </c:scatterChart>
      <c:valAx>
        <c:axId val="174754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548607"/>
        <c:crosses val="autoZero"/>
        <c:crossBetween val="midCat"/>
      </c:valAx>
      <c:valAx>
        <c:axId val="174754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SPE Statistics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548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w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371475</xdr:colOff>
      <xdr:row>18</xdr:row>
      <xdr:rowOff>66675</xdr:rowOff>
    </xdr:from>
    <xdr:to>
      <xdr:col>21</xdr:col>
      <xdr:colOff>485775</xdr:colOff>
      <xdr:row>32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390525</xdr:colOff>
          <xdr:row>3</xdr:row>
          <xdr:rowOff>66675</xdr:rowOff>
        </xdr:from>
        <xdr:to>
          <xdr:col>2</xdr:col>
          <xdr:colOff>466725</xdr:colOff>
          <xdr:row>5</xdr:row>
          <xdr:rowOff>104775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20</xdr:col>
      <xdr:colOff>217646</xdr:colOff>
      <xdr:row>2</xdr:row>
      <xdr:rowOff>31433</xdr:rowOff>
    </xdr:from>
    <xdr:to>
      <xdr:col>33</xdr:col>
      <xdr:colOff>210026</xdr:colOff>
      <xdr:row>22</xdr:row>
      <xdr:rowOff>23813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200025</xdr:colOff>
          <xdr:row>0</xdr:row>
          <xdr:rowOff>133350</xdr:rowOff>
        </xdr:from>
        <xdr:to>
          <xdr:col>6</xdr:col>
          <xdr:colOff>276225</xdr:colOff>
          <xdr:row>3</xdr:row>
          <xdr:rowOff>171450</xdr:rowOff>
        </xdr:to>
        <xdr:sp macro="" textlink="">
          <xdr:nvSpPr>
            <xdr:cNvPr id="16386" name="Object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9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447675</xdr:colOff>
          <xdr:row>1</xdr:row>
          <xdr:rowOff>47625</xdr:rowOff>
        </xdr:from>
        <xdr:to>
          <xdr:col>8</xdr:col>
          <xdr:colOff>66675</xdr:colOff>
          <xdr:row>3</xdr:row>
          <xdr:rowOff>114300</xdr:rowOff>
        </xdr:to>
        <xdr:sp macro="" textlink="">
          <xdr:nvSpPr>
            <xdr:cNvPr id="16387" name="Object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9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3</xdr:col>
      <xdr:colOff>152400</xdr:colOff>
      <xdr:row>6</xdr:row>
      <xdr:rowOff>22860</xdr:rowOff>
    </xdr:from>
    <xdr:ext cx="18934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900-000006000000}"/>
                </a:ext>
              </a:extLst>
            </xdr:cNvPr>
            <xdr:cNvSpPr txBox="1"/>
          </xdr:nvSpPr>
          <xdr:spPr>
            <a:xfrm>
              <a:off x="2305050" y="802386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MY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  <m:r>
                      <a:rPr lang="en-MY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3A1A330-BE98-45EB-BD7C-C806569024B9}"/>
                </a:ext>
              </a:extLst>
            </xdr:cNvPr>
            <xdr:cNvSpPr txBox="1"/>
          </xdr:nvSpPr>
          <xdr:spPr>
            <a:xfrm>
              <a:off x="2305050" y="802386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en-MY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144780</xdr:colOff>
      <xdr:row>7</xdr:row>
      <xdr:rowOff>0</xdr:rowOff>
    </xdr:from>
    <xdr:ext cx="18934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900-000007000000}"/>
                </a:ext>
              </a:extLst>
            </xdr:cNvPr>
            <xdr:cNvSpPr txBox="1"/>
          </xdr:nvSpPr>
          <xdr:spPr>
            <a:xfrm>
              <a:off x="2297430" y="819150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MY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44BB44A-ED96-43A2-8872-CAF3384015EF}"/>
                </a:ext>
              </a:extLst>
            </xdr:cNvPr>
            <xdr:cNvSpPr txBox="1"/>
          </xdr:nvSpPr>
          <xdr:spPr>
            <a:xfrm>
              <a:off x="2297430" y="819150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152400</xdr:colOff>
      <xdr:row>7</xdr:row>
      <xdr:rowOff>167640</xdr:rowOff>
    </xdr:from>
    <xdr:ext cx="18934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900-000008000000}"/>
                </a:ext>
              </a:extLst>
            </xdr:cNvPr>
            <xdr:cNvSpPr txBox="1"/>
          </xdr:nvSpPr>
          <xdr:spPr>
            <a:xfrm>
              <a:off x="2305050" y="835914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MY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</m:t>
                    </m:r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A469694-2BF6-4AB2-994D-DD98CA2794FD}"/>
                </a:ext>
              </a:extLst>
            </xdr:cNvPr>
            <xdr:cNvSpPr txBox="1"/>
          </xdr:nvSpPr>
          <xdr:spPr>
            <a:xfrm>
              <a:off x="2305050" y="835914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3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152400</xdr:colOff>
      <xdr:row>9</xdr:row>
      <xdr:rowOff>0</xdr:rowOff>
    </xdr:from>
    <xdr:ext cx="17549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900-000009000000}"/>
                </a:ext>
              </a:extLst>
            </xdr:cNvPr>
            <xdr:cNvSpPr txBox="1"/>
          </xdr:nvSpPr>
          <xdr:spPr>
            <a:xfrm>
              <a:off x="2305050" y="8572500"/>
              <a:ext cx="1754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87BE004-DD06-4E73-B844-7D877533A600}"/>
                </a:ext>
              </a:extLst>
            </xdr:cNvPr>
            <xdr:cNvSpPr txBox="1"/>
          </xdr:nvSpPr>
          <xdr:spPr>
            <a:xfrm>
              <a:off x="2305050" y="8572500"/>
              <a:ext cx="1754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ℎ</a:t>
              </a:r>
              <a:r>
                <a:rPr lang="en-MY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0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60960</xdr:colOff>
      <xdr:row>10</xdr:row>
      <xdr:rowOff>0</xdr:rowOff>
    </xdr:from>
    <xdr:ext cx="18396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900-00000A000000}"/>
                </a:ext>
              </a:extLst>
            </xdr:cNvPr>
            <xdr:cNvSpPr txBox="1"/>
          </xdr:nvSpPr>
          <xdr:spPr>
            <a:xfrm>
              <a:off x="2213610" y="8763000"/>
              <a:ext cx="1839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AC05DA0-BC96-40CB-851E-AC6356A4BB87}"/>
                </a:ext>
              </a:extLst>
            </xdr:cNvPr>
            <xdr:cNvSpPr txBox="1"/>
          </xdr:nvSpPr>
          <xdr:spPr>
            <a:xfrm>
              <a:off x="2213610" y="8763000"/>
              <a:ext cx="1839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𝑍</a:t>
              </a:r>
              <a:r>
                <a:rPr lang="en-MY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76200</xdr:colOff>
      <xdr:row>12</xdr:row>
      <xdr:rowOff>0</xdr:rowOff>
    </xdr:from>
    <xdr:ext cx="34714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900-00000B000000}"/>
                </a:ext>
              </a:extLst>
            </xdr:cNvPr>
            <xdr:cNvSpPr txBox="1"/>
          </xdr:nvSpPr>
          <xdr:spPr>
            <a:xfrm>
              <a:off x="2228850" y="9144000"/>
              <a:ext cx="34714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𝑆𝑃𝐸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CDFDCEA-37AB-4E8B-BE38-B52089B758CB}"/>
                </a:ext>
              </a:extLst>
            </xdr:cNvPr>
            <xdr:cNvSpPr txBox="1"/>
          </xdr:nvSpPr>
          <xdr:spPr>
            <a:xfrm>
              <a:off x="2228850" y="9144000"/>
              <a:ext cx="34714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𝑆𝑃𝐸</a:t>
              </a:r>
              <a:r>
                <a:rPr lang="en-MY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45720</xdr:colOff>
      <xdr:row>11</xdr:row>
      <xdr:rowOff>0</xdr:rowOff>
    </xdr:from>
    <xdr:ext cx="18396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900-00000C000000}"/>
                </a:ext>
              </a:extLst>
            </xdr:cNvPr>
            <xdr:cNvSpPr txBox="1"/>
          </xdr:nvSpPr>
          <xdr:spPr>
            <a:xfrm>
              <a:off x="2198370" y="8953500"/>
              <a:ext cx="1839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615E186-788D-4A0F-A60B-63C1801A6D2F}"/>
                </a:ext>
              </a:extLst>
            </xdr:cNvPr>
            <xdr:cNvSpPr txBox="1"/>
          </xdr:nvSpPr>
          <xdr:spPr>
            <a:xfrm>
              <a:off x="2198370" y="8953500"/>
              <a:ext cx="1839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𝑍</a:t>
              </a:r>
              <a:r>
                <a:rPr lang="en-MY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83820</xdr:colOff>
      <xdr:row>13</xdr:row>
      <xdr:rowOff>7620</xdr:rowOff>
    </xdr:from>
    <xdr:ext cx="34714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900-00000D000000}"/>
                </a:ext>
              </a:extLst>
            </xdr:cNvPr>
            <xdr:cNvSpPr txBox="1"/>
          </xdr:nvSpPr>
          <xdr:spPr>
            <a:xfrm>
              <a:off x="2236470" y="9342120"/>
              <a:ext cx="34714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𝑆𝑃𝐸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BC58DAB-3C6C-4946-8363-0D876E42DC2A}"/>
                </a:ext>
              </a:extLst>
            </xdr:cNvPr>
            <xdr:cNvSpPr txBox="1"/>
          </xdr:nvSpPr>
          <xdr:spPr>
            <a:xfrm>
              <a:off x="2236470" y="9342120"/>
              <a:ext cx="34714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𝑆𝑃𝐸</a:t>
              </a:r>
              <a:r>
                <a:rPr lang="en-MY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endParaRPr lang="en-MY" sz="1100"/>
            </a:p>
          </xdr:txBody>
        </xdr:sp>
      </mc:Fallback>
    </mc:AlternateContent>
    <xdr:clientData/>
  </xdr:oneCellAnchor>
  <xdr:twoCellAnchor>
    <xdr:from>
      <xdr:col>12</xdr:col>
      <xdr:colOff>22860</xdr:colOff>
      <xdr:row>4</xdr:row>
      <xdr:rowOff>167640</xdr:rowOff>
    </xdr:from>
    <xdr:to>
      <xdr:col>25</xdr:col>
      <xdr:colOff>15240</xdr:colOff>
      <xdr:row>28</xdr:row>
      <xdr:rowOff>7620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3.w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FECF-3066-423F-AFDF-572E2BD15513}">
  <dimension ref="A1"/>
  <sheetViews>
    <sheetView workbookViewId="0">
      <selection activeCell="K16" sqref="K16"/>
    </sheetView>
  </sheetViews>
  <sheetFormatPr defaultRowHeight="15" x14ac:dyDescent="0.25"/>
  <sheetData/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41D1A-C494-4955-A7B8-A83ABAFE0354}">
  <dimension ref="A1:AS35"/>
  <sheetViews>
    <sheetView topLeftCell="AI1" workbookViewId="0">
      <selection activeCell="O23" sqref="O23"/>
    </sheetView>
  </sheetViews>
  <sheetFormatPr defaultColWidth="8.7109375" defaultRowHeight="15" x14ac:dyDescent="0.25"/>
  <cols>
    <col min="16" max="16" width="11.7109375" bestFit="1" customWidth="1"/>
    <col min="17" max="17" width="10.28515625" customWidth="1"/>
    <col min="18" max="29" width="9.5703125" bestFit="1" customWidth="1"/>
  </cols>
  <sheetData>
    <row r="1" spans="1:45" s="24" customFormat="1" ht="61.5" x14ac:dyDescent="0.25">
      <c r="A1" s="24" t="s">
        <v>4</v>
      </c>
      <c r="B1" s="25" t="s">
        <v>54</v>
      </c>
      <c r="P1" s="24" t="s">
        <v>3</v>
      </c>
      <c r="Q1" s="25" t="s">
        <v>53</v>
      </c>
    </row>
    <row r="2" spans="1:45" x14ac:dyDescent="0.25"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/>
      <c r="Q2" s="2" t="s">
        <v>5</v>
      </c>
      <c r="R2" s="2" t="s">
        <v>6</v>
      </c>
      <c r="S2" s="2" t="s">
        <v>7</v>
      </c>
      <c r="T2" s="2" t="s">
        <v>8</v>
      </c>
      <c r="U2" s="2" t="s">
        <v>9</v>
      </c>
      <c r="V2" s="2" t="s">
        <v>10</v>
      </c>
      <c r="W2" s="2" t="s">
        <v>11</v>
      </c>
      <c r="X2" s="2" t="s">
        <v>12</v>
      </c>
      <c r="Y2" s="2" t="s">
        <v>13</v>
      </c>
      <c r="Z2" s="2" t="s">
        <v>14</v>
      </c>
      <c r="AA2" s="2" t="s">
        <v>15</v>
      </c>
      <c r="AB2" s="2" t="s">
        <v>16</v>
      </c>
      <c r="AC2" s="2" t="s">
        <v>17</v>
      </c>
    </row>
    <row r="3" spans="1:45" x14ac:dyDescent="0.25">
      <c r="A3">
        <v>1</v>
      </c>
      <c r="B3">
        <v>49.994999999999997</v>
      </c>
      <c r="C3">
        <v>29.956</v>
      </c>
      <c r="D3">
        <v>19.797000000000001</v>
      </c>
      <c r="E3">
        <v>299.05799999999999</v>
      </c>
      <c r="F3">
        <v>199.87899999999999</v>
      </c>
      <c r="G3">
        <v>299.28899999999999</v>
      </c>
      <c r="H3">
        <v>85.367999999999995</v>
      </c>
      <c r="I3">
        <v>0.109</v>
      </c>
      <c r="J3">
        <v>0.8</v>
      </c>
      <c r="K3">
        <v>234.53299999999999</v>
      </c>
      <c r="L3">
        <v>24.936</v>
      </c>
      <c r="M3">
        <v>66.778999999999996</v>
      </c>
      <c r="N3">
        <v>21.460999999999999</v>
      </c>
      <c r="Q3">
        <f t="shared" ref="Q3:Q32" si="0">(B3-B$34)/B$35</f>
        <v>2.3172450429664152E-2</v>
      </c>
      <c r="R3">
        <f t="shared" ref="R3:R32" si="1">(C3-C$34)/C$35</f>
        <v>-0.72172112833975577</v>
      </c>
      <c r="S3">
        <f t="shared" ref="S3:S32" si="2">(D3-D$34)/D$35</f>
        <v>-1.1699384146911589</v>
      </c>
      <c r="T3">
        <f t="shared" ref="T3:T32" si="3">(E3-E$34)/E$35</f>
        <v>-1.3286950678911154</v>
      </c>
      <c r="U3">
        <f t="shared" ref="U3:U32" si="4">(F3-F$34)/F$35</f>
        <v>-0.15417617146348278</v>
      </c>
      <c r="V3">
        <f t="shared" ref="V3:V32" si="5">(G3-G$34)/G$35</f>
        <v>-0.39000887813107282</v>
      </c>
      <c r="W3">
        <f t="shared" ref="W3:W32" si="6">(H3-H$34)/H$35</f>
        <v>-0.31573423778279475</v>
      </c>
      <c r="X3">
        <f t="shared" ref="X3:X32" si="7">(I3-I$34)/I$35</f>
        <v>-0.79399923338042055</v>
      </c>
      <c r="Y3">
        <f t="shared" ref="Y3:Y32" si="8">(J3-J$34)/J$35</f>
        <v>-4.3296604858100281E-2</v>
      </c>
      <c r="Z3">
        <f t="shared" ref="Z3:Z32" si="9">(K3-K$34)/K$35</f>
        <v>0.46587065656463267</v>
      </c>
      <c r="AA3">
        <f t="shared" ref="AA3:AA32" si="10">(L3-L$34)/L$35</f>
        <v>0.37426320400861068</v>
      </c>
      <c r="AB3">
        <f t="shared" ref="AB3:AB32" si="11">(M3-M$34)/M$35</f>
        <v>0.15248039113808745</v>
      </c>
      <c r="AC3">
        <f t="shared" ref="AC3:AC32" si="12">(N3-N$34)/N$35</f>
        <v>-3.7006977554947591E-2</v>
      </c>
      <c r="AF3" s="3"/>
      <c r="AG3" s="3" t="s">
        <v>18</v>
      </c>
      <c r="AH3" s="3" t="s">
        <v>19</v>
      </c>
      <c r="AI3" s="3" t="s">
        <v>20</v>
      </c>
      <c r="AJ3" s="3" t="s">
        <v>21</v>
      </c>
      <c r="AK3" s="3" t="s">
        <v>22</v>
      </c>
      <c r="AL3" s="3" t="s">
        <v>23</v>
      </c>
      <c r="AM3" s="3" t="s">
        <v>24</v>
      </c>
      <c r="AN3" s="3" t="s">
        <v>25</v>
      </c>
      <c r="AO3" s="3" t="s">
        <v>26</v>
      </c>
      <c r="AP3" s="3" t="s">
        <v>27</v>
      </c>
      <c r="AQ3" s="3" t="s">
        <v>28</v>
      </c>
      <c r="AR3" s="3" t="s">
        <v>29</v>
      </c>
      <c r="AS3" s="3" t="s">
        <v>30</v>
      </c>
    </row>
    <row r="4" spans="1:45" x14ac:dyDescent="0.25">
      <c r="A4">
        <v>2</v>
      </c>
      <c r="B4">
        <v>50.064999999999998</v>
      </c>
      <c r="C4">
        <v>29.954999999999998</v>
      </c>
      <c r="D4">
        <v>19.824999999999999</v>
      </c>
      <c r="E4">
        <v>300.29399999999998</v>
      </c>
      <c r="F4">
        <v>200.92699999999999</v>
      </c>
      <c r="G4">
        <v>299.33600000000001</v>
      </c>
      <c r="H4">
        <v>84.866</v>
      </c>
      <c r="I4">
        <v>0.109</v>
      </c>
      <c r="J4">
        <v>0.80100000000000005</v>
      </c>
      <c r="K4">
        <v>234.54300000000001</v>
      </c>
      <c r="L4">
        <v>24.972999999999999</v>
      </c>
      <c r="M4">
        <v>67.013000000000005</v>
      </c>
      <c r="N4">
        <v>21.350999999999999</v>
      </c>
      <c r="Q4">
        <f t="shared" si="0"/>
        <v>1.0369671567298377</v>
      </c>
      <c r="R4">
        <f t="shared" si="1"/>
        <v>-0.73665328961576937</v>
      </c>
      <c r="S4">
        <f t="shared" si="2"/>
        <v>-0.95541139693509936</v>
      </c>
      <c r="T4">
        <f t="shared" si="3"/>
        <v>0.75902106912327238</v>
      </c>
      <c r="U4">
        <f t="shared" si="4"/>
        <v>1.8307946847241041</v>
      </c>
      <c r="V4">
        <f t="shared" si="5"/>
        <v>-0.36268810516976918</v>
      </c>
      <c r="W4">
        <f t="shared" si="6"/>
        <v>-0.88227273665190875</v>
      </c>
      <c r="X4">
        <f t="shared" si="7"/>
        <v>-0.79399923338042055</v>
      </c>
      <c r="Y4">
        <f t="shared" si="8"/>
        <v>0.38966944372343126</v>
      </c>
      <c r="Z4">
        <f t="shared" si="9"/>
        <v>0.68984693375981643</v>
      </c>
      <c r="AA4">
        <f t="shared" si="10"/>
        <v>0.46155720620435642</v>
      </c>
      <c r="AB4">
        <f t="shared" si="11"/>
        <v>1.5143281593178539</v>
      </c>
      <c r="AC4">
        <f t="shared" si="12"/>
        <v>-0.57499387593091</v>
      </c>
      <c r="AF4" s="4" t="s">
        <v>18</v>
      </c>
      <c r="AG4" s="4">
        <v>1</v>
      </c>
      <c r="AH4" s="4">
        <v>-0.44786540679046877</v>
      </c>
      <c r="AI4" s="4">
        <v>7.5315172703734001E-2</v>
      </c>
      <c r="AJ4" s="4">
        <v>0.24693390201914572</v>
      </c>
      <c r="AK4" s="4">
        <v>0.52077398349720161</v>
      </c>
      <c r="AL4" s="4">
        <v>0.46119826629703276</v>
      </c>
      <c r="AM4" s="4">
        <v>-0.3302549171150464</v>
      </c>
      <c r="AN4" s="4">
        <v>4.9169495187837552E-2</v>
      </c>
      <c r="AO4" s="4">
        <v>-0.29929996650846019</v>
      </c>
      <c r="AP4" s="4">
        <v>-0.39546837384977562</v>
      </c>
      <c r="AQ4" s="4">
        <v>-0.49355789870764644</v>
      </c>
      <c r="AR4" s="4">
        <v>0.55701559295429914</v>
      </c>
      <c r="AS4" s="4">
        <v>-0.33355342787351289</v>
      </c>
    </row>
    <row r="5" spans="1:45" x14ac:dyDescent="0.25">
      <c r="A5">
        <v>3</v>
      </c>
      <c r="B5">
        <v>49.886000000000003</v>
      </c>
      <c r="C5">
        <v>30.172999999999998</v>
      </c>
      <c r="D5">
        <v>20.106999999999999</v>
      </c>
      <c r="E5">
        <v>299.69</v>
      </c>
      <c r="F5">
        <v>199.126</v>
      </c>
      <c r="G5">
        <v>297.58800000000002</v>
      </c>
      <c r="H5">
        <v>86.53</v>
      </c>
      <c r="I5">
        <v>0.109</v>
      </c>
      <c r="J5">
        <v>0.80400000000000005</v>
      </c>
      <c r="K5">
        <v>234.55500000000001</v>
      </c>
      <c r="L5">
        <v>25.356999999999999</v>
      </c>
      <c r="M5">
        <v>66.552999999999997</v>
      </c>
      <c r="N5">
        <v>21.721</v>
      </c>
      <c r="Q5">
        <f t="shared" si="0"/>
        <v>-1.5554507350948079</v>
      </c>
      <c r="R5">
        <f t="shared" si="1"/>
        <v>2.518557868551218</v>
      </c>
      <c r="S5">
        <f t="shared" si="2"/>
        <v>1.2051821390367439</v>
      </c>
      <c r="T5">
        <f t="shared" si="3"/>
        <v>-0.26118972922354722</v>
      </c>
      <c r="U5">
        <f t="shared" si="4"/>
        <v>-1.5804004603081605</v>
      </c>
      <c r="V5">
        <f t="shared" si="5"/>
        <v>-1.3787883421130149</v>
      </c>
      <c r="W5">
        <f t="shared" si="6"/>
        <v>0.9956556739421456</v>
      </c>
      <c r="X5">
        <f t="shared" si="7"/>
        <v>-0.79399923338042055</v>
      </c>
      <c r="Y5">
        <f t="shared" si="8"/>
        <v>1.6885675894680259</v>
      </c>
      <c r="Z5">
        <f t="shared" si="9"/>
        <v>0.95861846639352777</v>
      </c>
      <c r="AA5">
        <f t="shared" si="10"/>
        <v>1.3675273911548229</v>
      </c>
      <c r="AB5">
        <f t="shared" si="11"/>
        <v>-1.1628084789841959</v>
      </c>
      <c r="AC5">
        <f t="shared" si="12"/>
        <v>1.2345984186064323</v>
      </c>
      <c r="AF5" s="4" t="s">
        <v>19</v>
      </c>
      <c r="AG5" s="4">
        <v>-0.44786540679046877</v>
      </c>
      <c r="AH5" s="4">
        <v>1</v>
      </c>
      <c r="AI5" s="4">
        <v>0.15837656463503358</v>
      </c>
      <c r="AJ5" s="4">
        <v>-0.14960281421030652</v>
      </c>
      <c r="AK5" s="4">
        <v>-0.31212013625546031</v>
      </c>
      <c r="AL5" s="4">
        <v>-0.19991338012536231</v>
      </c>
      <c r="AM5" s="4">
        <v>-6.5636139281286351E-2</v>
      </c>
      <c r="AN5" s="4">
        <v>5.8054127380383985E-2</v>
      </c>
      <c r="AO5" s="4">
        <v>9.2963950568124135E-2</v>
      </c>
      <c r="AP5" s="4">
        <v>0.33251904747187444</v>
      </c>
      <c r="AQ5" s="4">
        <v>0.18643079097037901</v>
      </c>
      <c r="AR5" s="4">
        <v>-0.25292104777335783</v>
      </c>
      <c r="AS5" s="4">
        <v>-8.4011436183590124E-2</v>
      </c>
    </row>
    <row r="6" spans="1:45" x14ac:dyDescent="0.25">
      <c r="A6">
        <v>4</v>
      </c>
      <c r="B6">
        <v>50.006</v>
      </c>
      <c r="C6">
        <v>29.99</v>
      </c>
      <c r="D6">
        <v>20.007999999999999</v>
      </c>
      <c r="E6">
        <v>300.76900000000001</v>
      </c>
      <c r="F6">
        <v>200.352</v>
      </c>
      <c r="G6">
        <v>303.55799999999999</v>
      </c>
      <c r="H6">
        <v>84.085999999999999</v>
      </c>
      <c r="I6">
        <v>0.109</v>
      </c>
      <c r="J6">
        <v>0.79900000000000004</v>
      </c>
      <c r="K6">
        <v>234.59100000000001</v>
      </c>
      <c r="L6">
        <v>23.939</v>
      </c>
      <c r="M6">
        <v>66.918000000000006</v>
      </c>
      <c r="N6">
        <v>21.006</v>
      </c>
      <c r="Q6">
        <f t="shared" si="0"/>
        <v>0.18248304713401683</v>
      </c>
      <c r="R6">
        <f t="shared" si="1"/>
        <v>-0.21402764495592977</v>
      </c>
      <c r="S6">
        <f t="shared" si="2"/>
        <v>0.44667589768492516</v>
      </c>
      <c r="T6">
        <f t="shared" si="3"/>
        <v>1.5613391638497203</v>
      </c>
      <c r="U6">
        <f t="shared" si="4"/>
        <v>0.74171239244563281</v>
      </c>
      <c r="V6">
        <f t="shared" si="5"/>
        <v>2.0915311170123738</v>
      </c>
      <c r="W6">
        <f t="shared" si="6"/>
        <v>-1.7625516791178721</v>
      </c>
      <c r="X6">
        <f t="shared" si="7"/>
        <v>-0.79399923338042055</v>
      </c>
      <c r="Y6">
        <f t="shared" si="8"/>
        <v>-0.47626265343963181</v>
      </c>
      <c r="Z6">
        <f t="shared" si="9"/>
        <v>1.7649330642946615</v>
      </c>
      <c r="AA6">
        <f t="shared" si="10"/>
        <v>-1.977956260563301</v>
      </c>
      <c r="AB6">
        <f t="shared" si="11"/>
        <v>0.96144124488592497</v>
      </c>
      <c r="AC6">
        <f t="shared" si="12"/>
        <v>-2.2623164208373407</v>
      </c>
      <c r="AF6" s="4" t="s">
        <v>20</v>
      </c>
      <c r="AG6" s="4">
        <v>7.5315172703734001E-2</v>
      </c>
      <c r="AH6" s="4">
        <v>0.15837656463503358</v>
      </c>
      <c r="AI6" s="4">
        <v>1</v>
      </c>
      <c r="AJ6" s="4">
        <v>-0.29100648511072796</v>
      </c>
      <c r="AK6" s="4">
        <v>2.4887981350526695E-3</v>
      </c>
      <c r="AL6" s="4">
        <v>0.16410330249019436</v>
      </c>
      <c r="AM6" s="4">
        <v>0.14270487145475069</v>
      </c>
      <c r="AN6" s="4">
        <v>0.16592909054362925</v>
      </c>
      <c r="AO6" s="4">
        <v>-0.10467630011334972</v>
      </c>
      <c r="AP6" s="4">
        <v>8.609640380174742E-2</v>
      </c>
      <c r="AQ6" s="4">
        <v>-0.15111293370199433</v>
      </c>
      <c r="AR6" s="4">
        <v>-5.0656914083562654E-2</v>
      </c>
      <c r="AS6" s="4">
        <v>6.366190197483193E-2</v>
      </c>
    </row>
    <row r="7" spans="1:45" x14ac:dyDescent="0.25">
      <c r="A7">
        <v>5</v>
      </c>
      <c r="B7">
        <v>49.994</v>
      </c>
      <c r="C7">
        <v>30.123999999999999</v>
      </c>
      <c r="D7">
        <v>20.25</v>
      </c>
      <c r="E7">
        <v>299.38400000000001</v>
      </c>
      <c r="F7">
        <v>199.65199999999999</v>
      </c>
      <c r="G7">
        <v>300.44900000000001</v>
      </c>
      <c r="H7">
        <v>85.634</v>
      </c>
      <c r="I7">
        <v>0.11</v>
      </c>
      <c r="J7">
        <v>0.79900000000000004</v>
      </c>
      <c r="K7">
        <v>234.53899999999999</v>
      </c>
      <c r="L7">
        <v>24.643999999999998</v>
      </c>
      <c r="M7">
        <v>66.655000000000001</v>
      </c>
      <c r="N7">
        <v>21.428999999999998</v>
      </c>
      <c r="Q7">
        <f t="shared" si="0"/>
        <v>8.6896689111240575E-3</v>
      </c>
      <c r="R7">
        <f t="shared" si="1"/>
        <v>1.7868819660274531</v>
      </c>
      <c r="S7">
        <f t="shared" si="2"/>
        <v>2.3008022654338185</v>
      </c>
      <c r="T7">
        <f t="shared" si="3"/>
        <v>-0.77805149129990048</v>
      </c>
      <c r="U7">
        <f t="shared" si="4"/>
        <v>-0.58412691989343424</v>
      </c>
      <c r="V7">
        <f t="shared" si="5"/>
        <v>0.28429105027521828</v>
      </c>
      <c r="W7">
        <f t="shared" si="6"/>
        <v>-1.5536547146960568E-2</v>
      </c>
      <c r="X7">
        <f t="shared" si="7"/>
        <v>0.79399923338042055</v>
      </c>
      <c r="Y7">
        <f t="shared" si="8"/>
        <v>-0.47626265343963181</v>
      </c>
      <c r="Z7">
        <f t="shared" si="9"/>
        <v>0.60025642288148828</v>
      </c>
      <c r="AA7">
        <f t="shared" si="10"/>
        <v>-0.3146516241308096</v>
      </c>
      <c r="AB7">
        <f t="shared" si="11"/>
        <v>-0.56918252875199005</v>
      </c>
      <c r="AC7">
        <f t="shared" si="12"/>
        <v>-0.19351225708250122</v>
      </c>
      <c r="AF7" s="4" t="s">
        <v>21</v>
      </c>
      <c r="AG7" s="4">
        <v>0.24693390201914572</v>
      </c>
      <c r="AH7" s="4">
        <v>-0.14960281421030652</v>
      </c>
      <c r="AI7" s="4">
        <v>-0.29100648511072796</v>
      </c>
      <c r="AJ7" s="4">
        <v>1</v>
      </c>
      <c r="AK7" s="4">
        <v>0.18841664731457911</v>
      </c>
      <c r="AL7" s="4">
        <v>0.25715094973232078</v>
      </c>
      <c r="AM7" s="4">
        <v>-3.6612033527385408E-2</v>
      </c>
      <c r="AN7" s="4">
        <v>-1.484499634388089E-2</v>
      </c>
      <c r="AO7" s="4">
        <v>-1.9390038994070082E-2</v>
      </c>
      <c r="AP7" s="4">
        <v>-1.6438232536891615E-2</v>
      </c>
      <c r="AQ7" s="4">
        <v>-0.25161576959321308</v>
      </c>
      <c r="AR7" s="4">
        <v>0.21419756467949413</v>
      </c>
      <c r="AS7" s="4">
        <v>-5.6715889115574958E-2</v>
      </c>
    </row>
    <row r="8" spans="1:45" x14ac:dyDescent="0.25">
      <c r="A8">
        <v>6</v>
      </c>
      <c r="B8">
        <v>50.04</v>
      </c>
      <c r="C8">
        <v>30.036999999999999</v>
      </c>
      <c r="D8">
        <v>20.149000000000001</v>
      </c>
      <c r="E8">
        <v>299.178</v>
      </c>
      <c r="F8">
        <v>199.82900000000001</v>
      </c>
      <c r="G8">
        <v>303.02100000000002</v>
      </c>
      <c r="H8">
        <v>84.268000000000001</v>
      </c>
      <c r="I8">
        <v>0.11</v>
      </c>
      <c r="J8">
        <v>0.80100000000000005</v>
      </c>
      <c r="K8">
        <v>234.53100000000001</v>
      </c>
      <c r="L8">
        <v>23.957999999999998</v>
      </c>
      <c r="M8">
        <v>66.697999999999993</v>
      </c>
      <c r="N8">
        <v>21.117999999999999</v>
      </c>
      <c r="Q8">
        <f t="shared" si="0"/>
        <v>0.67489761876551202</v>
      </c>
      <c r="R8">
        <f t="shared" si="1"/>
        <v>0.48778393501586093</v>
      </c>
      <c r="S8">
        <f t="shared" si="2"/>
        <v>1.5269726656708604</v>
      </c>
      <c r="T8">
        <f t="shared" si="3"/>
        <v>-1.1260041808023304</v>
      </c>
      <c r="U8">
        <f t="shared" si="4"/>
        <v>-0.24887897948766724</v>
      </c>
      <c r="V8">
        <f t="shared" si="5"/>
        <v>1.7793767536036194</v>
      </c>
      <c r="W8">
        <f t="shared" si="6"/>
        <v>-1.5571532592091453</v>
      </c>
      <c r="X8">
        <f t="shared" si="7"/>
        <v>0.79399923338042055</v>
      </c>
      <c r="Y8">
        <f t="shared" si="8"/>
        <v>0.38966944372343126</v>
      </c>
      <c r="Z8">
        <f t="shared" si="9"/>
        <v>0.4210754011261052</v>
      </c>
      <c r="AA8">
        <f t="shared" si="10"/>
        <v>-1.9331296107871101</v>
      </c>
      <c r="AB8">
        <f t="shared" si="11"/>
        <v>-0.3189284516933702</v>
      </c>
      <c r="AC8">
        <f t="shared" si="12"/>
        <v>-1.7145479424909116</v>
      </c>
      <c r="AF8" s="4" t="s">
        <v>22</v>
      </c>
      <c r="AG8" s="4">
        <v>0.52077398349720161</v>
      </c>
      <c r="AH8" s="4">
        <v>-0.31212013625546031</v>
      </c>
      <c r="AI8" s="4">
        <v>2.4887981350526695E-3</v>
      </c>
      <c r="AJ8" s="4">
        <v>0.18841664731457911</v>
      </c>
      <c r="AK8" s="4">
        <v>1</v>
      </c>
      <c r="AL8" s="4">
        <v>0.28115796641289048</v>
      </c>
      <c r="AM8" s="4">
        <v>-0.23726702551304818</v>
      </c>
      <c r="AN8" s="4">
        <v>-3.7441404781027754E-2</v>
      </c>
      <c r="AO8" s="4">
        <v>0.12484171616537244</v>
      </c>
      <c r="AP8" s="4">
        <v>3.2050242861983005E-2</v>
      </c>
      <c r="AQ8" s="4">
        <v>-0.29644651562130964</v>
      </c>
      <c r="AR8" s="4">
        <v>0.95674194228986287</v>
      </c>
      <c r="AS8" s="4">
        <v>-0.21384528018185966</v>
      </c>
    </row>
    <row r="9" spans="1:45" x14ac:dyDescent="0.25">
      <c r="A9">
        <v>7</v>
      </c>
      <c r="B9">
        <v>50.106000000000002</v>
      </c>
      <c r="C9">
        <v>30.016999999999999</v>
      </c>
      <c r="D9">
        <v>19.995999999999999</v>
      </c>
      <c r="E9">
        <v>300.34699999999998</v>
      </c>
      <c r="F9">
        <v>199.52699999999999</v>
      </c>
      <c r="G9">
        <v>301.46199999999999</v>
      </c>
      <c r="H9">
        <v>85.869</v>
      </c>
      <c r="I9">
        <v>0.109</v>
      </c>
      <c r="J9">
        <v>0.79600000000000004</v>
      </c>
      <c r="K9">
        <v>234.48099999999999</v>
      </c>
      <c r="L9">
        <v>24.423999999999999</v>
      </c>
      <c r="M9">
        <v>66.686999999999998</v>
      </c>
      <c r="N9">
        <v>21.466999999999999</v>
      </c>
      <c r="Q9">
        <f t="shared" si="0"/>
        <v>1.6307611989914224</v>
      </c>
      <c r="R9">
        <f t="shared" si="1"/>
        <v>0.18914070949596015</v>
      </c>
      <c r="S9">
        <f t="shared" si="2"/>
        <v>0.35473574721803475</v>
      </c>
      <c r="T9">
        <f t="shared" si="3"/>
        <v>0.8485428775874776</v>
      </c>
      <c r="U9">
        <f t="shared" si="4"/>
        <v>-0.82088393995397613</v>
      </c>
      <c r="V9">
        <f t="shared" si="5"/>
        <v>0.87314090154723767</v>
      </c>
      <c r="W9">
        <f t="shared" si="6"/>
        <v>0.24967569833957867</v>
      </c>
      <c r="X9">
        <f t="shared" si="7"/>
        <v>-0.79399923338042055</v>
      </c>
      <c r="Y9">
        <f t="shared" si="8"/>
        <v>-1.7751607991842264</v>
      </c>
      <c r="Z9">
        <f t="shared" si="9"/>
        <v>-0.6988059848479039</v>
      </c>
      <c r="AA9">
        <f t="shared" si="10"/>
        <v>-0.83369704259201116</v>
      </c>
      <c r="AB9">
        <f t="shared" si="11"/>
        <v>-0.38294693652230599</v>
      </c>
      <c r="AC9">
        <f t="shared" si="12"/>
        <v>-7.6622376435301993E-3</v>
      </c>
      <c r="AF9" s="4" t="s">
        <v>23</v>
      </c>
      <c r="AG9" s="4">
        <v>0.46119826629703276</v>
      </c>
      <c r="AH9" s="4">
        <v>-0.19991338012536231</v>
      </c>
      <c r="AI9" s="4">
        <v>0.16410330249019436</v>
      </c>
      <c r="AJ9" s="4">
        <v>0.25715094973232078</v>
      </c>
      <c r="AK9" s="4">
        <v>0.28115796641289048</v>
      </c>
      <c r="AL9" s="4">
        <v>1</v>
      </c>
      <c r="AM9" s="4">
        <v>-0.44092475022975353</v>
      </c>
      <c r="AN9" s="4">
        <v>0.11379501865323632</v>
      </c>
      <c r="AO9" s="4">
        <v>-0.3857111141507843</v>
      </c>
      <c r="AP9" s="4">
        <v>0.2909353802700782</v>
      </c>
      <c r="AQ9" s="4">
        <v>-0.99502286789705474</v>
      </c>
      <c r="AR9" s="4">
        <v>0.30992191210630227</v>
      </c>
      <c r="AS9" s="4">
        <v>-0.54055265982890677</v>
      </c>
    </row>
    <row r="10" spans="1:45" x14ac:dyDescent="0.25">
      <c r="A10">
        <v>8</v>
      </c>
      <c r="B10">
        <v>50.031999999999996</v>
      </c>
      <c r="C10">
        <v>29.97</v>
      </c>
      <c r="D10">
        <v>19.815999999999999</v>
      </c>
      <c r="E10">
        <v>300.464</v>
      </c>
      <c r="F10">
        <v>200.03299999999999</v>
      </c>
      <c r="G10">
        <v>300.43900000000002</v>
      </c>
      <c r="H10">
        <v>86.394999999999996</v>
      </c>
      <c r="I10">
        <v>0.11</v>
      </c>
      <c r="J10">
        <v>0.80100000000000005</v>
      </c>
      <c r="K10">
        <v>234.46100000000001</v>
      </c>
      <c r="L10">
        <v>24.594999999999999</v>
      </c>
      <c r="M10">
        <v>66.713999999999999</v>
      </c>
      <c r="N10">
        <v>21.614000000000001</v>
      </c>
      <c r="Q10">
        <f t="shared" si="0"/>
        <v>0.55903536661688258</v>
      </c>
      <c r="R10">
        <f t="shared" si="1"/>
        <v>-0.5126708704758306</v>
      </c>
      <c r="S10">
        <f t="shared" si="2"/>
        <v>-1.0243665097852672</v>
      </c>
      <c r="T10">
        <f t="shared" si="3"/>
        <v>1.0461664924990668</v>
      </c>
      <c r="U10">
        <f t="shared" si="4"/>
        <v>0.13750847725109797</v>
      </c>
      <c r="V10">
        <f t="shared" si="5"/>
        <v>0.27847811985792809</v>
      </c>
      <c r="W10">
        <f t="shared" si="6"/>
        <v>0.84329970313072333</v>
      </c>
      <c r="X10">
        <f t="shared" si="7"/>
        <v>0.79399923338042055</v>
      </c>
      <c r="Y10">
        <f t="shared" si="8"/>
        <v>0.38966944372343126</v>
      </c>
      <c r="Z10">
        <f t="shared" si="9"/>
        <v>-1.1467585392369983</v>
      </c>
      <c r="AA10">
        <f t="shared" si="10"/>
        <v>-0.43025719460625844</v>
      </c>
      <c r="AB10">
        <f t="shared" si="11"/>
        <v>-0.22581065557848679</v>
      </c>
      <c r="AC10">
        <f t="shared" si="12"/>
        <v>0.71128389018617855</v>
      </c>
      <c r="AF10" s="4" t="s">
        <v>24</v>
      </c>
      <c r="AG10" s="4">
        <v>-0.3302549171150464</v>
      </c>
      <c r="AH10" s="4">
        <v>-6.5636139281286351E-2</v>
      </c>
      <c r="AI10" s="4">
        <v>0.14270487145475069</v>
      </c>
      <c r="AJ10" s="4">
        <v>-3.6612033527385408E-2</v>
      </c>
      <c r="AK10" s="4">
        <v>-0.23726702551304818</v>
      </c>
      <c r="AL10" s="4">
        <v>-0.44092475022975353</v>
      </c>
      <c r="AM10" s="4">
        <v>1</v>
      </c>
      <c r="AN10" s="4">
        <v>2.8890789262723017E-2</v>
      </c>
      <c r="AO10" s="4">
        <v>0.15030744378065394</v>
      </c>
      <c r="AP10" s="4">
        <v>-0.14657125862723097</v>
      </c>
      <c r="AQ10" s="4">
        <v>0.4530475011243133</v>
      </c>
      <c r="AR10" s="4">
        <v>-0.25743733470783337</v>
      </c>
      <c r="AS10" s="4">
        <v>0.9548269787218252</v>
      </c>
    </row>
    <row r="11" spans="1:45" x14ac:dyDescent="0.25">
      <c r="A11">
        <v>9</v>
      </c>
      <c r="B11">
        <v>50.018000000000001</v>
      </c>
      <c r="C11">
        <v>29.959</v>
      </c>
      <c r="D11">
        <v>19.788</v>
      </c>
      <c r="E11">
        <v>299.51</v>
      </c>
      <c r="F11">
        <v>199.55600000000001</v>
      </c>
      <c r="G11">
        <v>298.75599999999997</v>
      </c>
      <c r="H11">
        <v>84.995000000000005</v>
      </c>
      <c r="I11">
        <v>0.109</v>
      </c>
      <c r="J11">
        <v>0.80100000000000005</v>
      </c>
      <c r="K11">
        <v>234.45099999999999</v>
      </c>
      <c r="L11">
        <v>25.029</v>
      </c>
      <c r="M11">
        <v>66.602999999999994</v>
      </c>
      <c r="N11">
        <v>21.385999999999999</v>
      </c>
      <c r="Q11">
        <f t="shared" si="0"/>
        <v>0.35627642535690957</v>
      </c>
      <c r="R11">
        <f t="shared" si="1"/>
        <v>-0.67692464451176804</v>
      </c>
      <c r="S11">
        <f t="shared" si="2"/>
        <v>-1.2388935275413266</v>
      </c>
      <c r="T11">
        <f t="shared" si="3"/>
        <v>-0.56522605985672447</v>
      </c>
      <c r="U11">
        <f t="shared" si="4"/>
        <v>-0.7659563112998834</v>
      </c>
      <c r="V11">
        <f t="shared" si="5"/>
        <v>-0.69983806937293125</v>
      </c>
      <c r="W11">
        <f t="shared" si="6"/>
        <v>-0.736688142320994</v>
      </c>
      <c r="X11">
        <f t="shared" si="7"/>
        <v>-0.79399923338042055</v>
      </c>
      <c r="Y11">
        <f t="shared" si="8"/>
        <v>0.38966944372343126</v>
      </c>
      <c r="Z11">
        <f t="shared" si="9"/>
        <v>-1.370734816432182</v>
      </c>
      <c r="AA11">
        <f t="shared" si="10"/>
        <v>0.59367785817630148</v>
      </c>
      <c r="AB11">
        <f t="shared" si="11"/>
        <v>-0.87181536612529908</v>
      </c>
      <c r="AC11">
        <f t="shared" si="12"/>
        <v>-0.40381622644764764</v>
      </c>
      <c r="AF11" s="4" t="s">
        <v>25</v>
      </c>
      <c r="AG11" s="4">
        <v>4.9169495187837552E-2</v>
      </c>
      <c r="AH11" s="4">
        <v>5.8054127380383985E-2</v>
      </c>
      <c r="AI11" s="4">
        <v>0.16592909054362925</v>
      </c>
      <c r="AJ11" s="4">
        <v>-1.484499634388089E-2</v>
      </c>
      <c r="AK11" s="4">
        <v>-3.7441404781027754E-2</v>
      </c>
      <c r="AL11" s="4">
        <v>0.11379501865323632</v>
      </c>
      <c r="AM11" s="4">
        <v>2.8890789262723017E-2</v>
      </c>
      <c r="AN11" s="4">
        <v>1</v>
      </c>
      <c r="AO11" s="4">
        <v>-0.13039730404097746</v>
      </c>
      <c r="AP11" s="4">
        <v>-0.13245789777871261</v>
      </c>
      <c r="AQ11" s="4">
        <v>-0.13791218705056271</v>
      </c>
      <c r="AR11" s="4">
        <v>-9.2100636089475357E-2</v>
      </c>
      <c r="AS11" s="4">
        <v>-2.9057673077990176E-2</v>
      </c>
    </row>
    <row r="12" spans="1:45" x14ac:dyDescent="0.25">
      <c r="A12">
        <v>10</v>
      </c>
      <c r="B12">
        <v>50</v>
      </c>
      <c r="C12">
        <v>30.091000000000001</v>
      </c>
      <c r="D12">
        <v>19.844999999999999</v>
      </c>
      <c r="E12">
        <v>299.14299999999997</v>
      </c>
      <c r="F12">
        <v>200.46899999999999</v>
      </c>
      <c r="G12">
        <v>298.40100000000001</v>
      </c>
      <c r="H12">
        <v>85.323999999999998</v>
      </c>
      <c r="I12">
        <v>0.11</v>
      </c>
      <c r="J12">
        <v>0.80200000000000005</v>
      </c>
      <c r="K12">
        <v>234.46700000000001</v>
      </c>
      <c r="L12">
        <v>25.125</v>
      </c>
      <c r="M12">
        <v>67.003</v>
      </c>
      <c r="N12">
        <v>21.448</v>
      </c>
      <c r="Q12">
        <f t="shared" si="0"/>
        <v>9.5586358022570442E-2</v>
      </c>
      <c r="R12">
        <f t="shared" si="1"/>
        <v>1.2941206439196407</v>
      </c>
      <c r="S12">
        <f t="shared" si="2"/>
        <v>-0.80217781282362444</v>
      </c>
      <c r="T12">
        <f t="shared" si="3"/>
        <v>-1.185122356203266</v>
      </c>
      <c r="U12">
        <f t="shared" si="4"/>
        <v>0.96331696322228144</v>
      </c>
      <c r="V12">
        <f t="shared" si="5"/>
        <v>-0.90619709918689861</v>
      </c>
      <c r="W12">
        <f t="shared" si="6"/>
        <v>-0.36539099863984553</v>
      </c>
      <c r="X12">
        <f t="shared" si="7"/>
        <v>0.79399923338042055</v>
      </c>
      <c r="Y12">
        <f t="shared" si="8"/>
        <v>0.8226354923049628</v>
      </c>
      <c r="Z12">
        <f t="shared" si="9"/>
        <v>-1.0123727729201426</v>
      </c>
      <c r="AA12">
        <f t="shared" si="10"/>
        <v>0.82017040441391809</v>
      </c>
      <c r="AB12">
        <f t="shared" si="11"/>
        <v>1.4561295367460414</v>
      </c>
      <c r="AC12">
        <f t="shared" si="12"/>
        <v>-0.10058724736300703</v>
      </c>
      <c r="AF12" s="4" t="s">
        <v>26</v>
      </c>
      <c r="AG12" s="4">
        <v>-0.29929996650846019</v>
      </c>
      <c r="AH12" s="4">
        <v>9.2963950568124135E-2</v>
      </c>
      <c r="AI12" s="4">
        <v>-0.10467630011334972</v>
      </c>
      <c r="AJ12" s="4">
        <v>-1.9390038994070082E-2</v>
      </c>
      <c r="AK12" s="4">
        <v>0.12484171616537244</v>
      </c>
      <c r="AL12" s="4">
        <v>-0.3857111141507843</v>
      </c>
      <c r="AM12" s="4">
        <v>0.15030744378065394</v>
      </c>
      <c r="AN12" s="4">
        <v>-0.13039730404097746</v>
      </c>
      <c r="AO12" s="4">
        <v>1</v>
      </c>
      <c r="AP12" s="4">
        <v>-5.5041175045392271E-2</v>
      </c>
      <c r="AQ12" s="4">
        <v>0.38059166866180039</v>
      </c>
      <c r="AR12" s="4">
        <v>0.16210151855076266</v>
      </c>
      <c r="AS12" s="4">
        <v>0.28362703391513344</v>
      </c>
    </row>
    <row r="13" spans="1:45" x14ac:dyDescent="0.25">
      <c r="A13">
        <v>11</v>
      </c>
      <c r="B13">
        <v>50.027000000000001</v>
      </c>
      <c r="C13">
        <v>29.937000000000001</v>
      </c>
      <c r="D13">
        <v>20.058</v>
      </c>
      <c r="E13">
        <v>300.22000000000003</v>
      </c>
      <c r="F13">
        <v>200.22800000000001</v>
      </c>
      <c r="G13">
        <v>303.05099999999999</v>
      </c>
      <c r="H13">
        <v>85.331999999999994</v>
      </c>
      <c r="I13">
        <v>0.109</v>
      </c>
      <c r="J13">
        <v>0.79800000000000004</v>
      </c>
      <c r="K13">
        <v>234.489</v>
      </c>
      <c r="L13">
        <v>24.056999999999999</v>
      </c>
      <c r="M13">
        <v>66.766000000000005</v>
      </c>
      <c r="N13">
        <v>21.484999999999999</v>
      </c>
      <c r="Q13">
        <f t="shared" si="0"/>
        <v>0.48662145902407916</v>
      </c>
      <c r="R13">
        <f t="shared" si="1"/>
        <v>-1.0054321925836429</v>
      </c>
      <c r="S13">
        <f t="shared" si="2"/>
        <v>0.82975985796362617</v>
      </c>
      <c r="T13">
        <f t="shared" si="3"/>
        <v>0.6340283554186017</v>
      </c>
      <c r="U13">
        <f t="shared" si="4"/>
        <v>0.50684942854558424</v>
      </c>
      <c r="V13">
        <f t="shared" si="5"/>
        <v>1.7968155448554899</v>
      </c>
      <c r="W13">
        <f t="shared" si="6"/>
        <v>-0.35636249666584069</v>
      </c>
      <c r="X13">
        <f t="shared" si="7"/>
        <v>-0.79399923338042055</v>
      </c>
      <c r="Y13">
        <f t="shared" si="8"/>
        <v>-0.90922870202116335</v>
      </c>
      <c r="Z13">
        <f t="shared" si="9"/>
        <v>-0.51962496309188422</v>
      </c>
      <c r="AA13">
        <f t="shared" si="10"/>
        <v>-1.6995591724795676</v>
      </c>
      <c r="AB13">
        <f t="shared" si="11"/>
        <v>7.6822181794822225E-2</v>
      </c>
      <c r="AC13">
        <f t="shared" si="12"/>
        <v>8.037198209072198E-2</v>
      </c>
      <c r="AF13" s="4" t="s">
        <v>27</v>
      </c>
      <c r="AG13" s="4">
        <v>-0.39546837384977562</v>
      </c>
      <c r="AH13" s="4">
        <v>0.33251904747187444</v>
      </c>
      <c r="AI13" s="4">
        <v>8.609640380174742E-2</v>
      </c>
      <c r="AJ13" s="4">
        <v>-1.6438232536891615E-2</v>
      </c>
      <c r="AK13" s="4">
        <v>3.2050242861983005E-2</v>
      </c>
      <c r="AL13" s="4">
        <v>0.2909353802700782</v>
      </c>
      <c r="AM13" s="4">
        <v>-0.14657125862723097</v>
      </c>
      <c r="AN13" s="4">
        <v>-0.13245789777871261</v>
      </c>
      <c r="AO13" s="4">
        <v>-5.5041175045392271E-2</v>
      </c>
      <c r="AP13" s="4">
        <v>1</v>
      </c>
      <c r="AQ13" s="4">
        <v>-0.26207993347621938</v>
      </c>
      <c r="AR13" s="4">
        <v>6.7293534872705438E-2</v>
      </c>
      <c r="AS13" s="4">
        <v>-0.25878904047902407</v>
      </c>
    </row>
    <row r="14" spans="1:45" x14ac:dyDescent="0.25">
      <c r="A14">
        <v>12</v>
      </c>
      <c r="B14">
        <v>50.058</v>
      </c>
      <c r="C14">
        <v>30.033000000000001</v>
      </c>
      <c r="D14">
        <v>19.937999999999999</v>
      </c>
      <c r="E14">
        <v>299.334</v>
      </c>
      <c r="F14">
        <v>200.21</v>
      </c>
      <c r="G14">
        <v>298.42700000000002</v>
      </c>
      <c r="H14">
        <v>84.641999999999996</v>
      </c>
      <c r="I14">
        <v>0.109</v>
      </c>
      <c r="J14">
        <v>0.8</v>
      </c>
      <c r="K14">
        <v>234.446</v>
      </c>
      <c r="L14">
        <v>25.108000000000001</v>
      </c>
      <c r="M14">
        <v>66.789000000000001</v>
      </c>
      <c r="N14">
        <v>21.280999999999999</v>
      </c>
      <c r="Q14">
        <f t="shared" si="0"/>
        <v>0.93558768609985121</v>
      </c>
      <c r="R14">
        <f t="shared" si="1"/>
        <v>0.42805528991191261</v>
      </c>
      <c r="S14">
        <f t="shared" si="2"/>
        <v>-8.9641646705250835E-2</v>
      </c>
      <c r="T14">
        <f t="shared" si="3"/>
        <v>-0.8625060275869102</v>
      </c>
      <c r="U14">
        <f t="shared" si="4"/>
        <v>0.47275641765686494</v>
      </c>
      <c r="V14">
        <f t="shared" si="5"/>
        <v>-0.89108348010192429</v>
      </c>
      <c r="W14">
        <f t="shared" si="6"/>
        <v>-1.1350707919241891</v>
      </c>
      <c r="X14">
        <f t="shared" si="7"/>
        <v>-0.79399923338042055</v>
      </c>
      <c r="Y14">
        <f t="shared" si="8"/>
        <v>-4.3296604858100281E-2</v>
      </c>
      <c r="Z14">
        <f t="shared" si="9"/>
        <v>-1.4827229550294556</v>
      </c>
      <c r="AA14">
        <f t="shared" si="10"/>
        <v>0.78006234935100816</v>
      </c>
      <c r="AB14">
        <f t="shared" si="11"/>
        <v>0.21067901370989991</v>
      </c>
      <c r="AC14">
        <f t="shared" si="12"/>
        <v>-0.91734917489743462</v>
      </c>
      <c r="AF14" s="4" t="s">
        <v>28</v>
      </c>
      <c r="AG14" s="4">
        <v>-0.49355789870764644</v>
      </c>
      <c r="AH14" s="4">
        <v>0.18643079097037901</v>
      </c>
      <c r="AI14" s="4">
        <v>-0.15111293370199433</v>
      </c>
      <c r="AJ14" s="4">
        <v>-0.25161576959321308</v>
      </c>
      <c r="AK14" s="4">
        <v>-0.29644651562130964</v>
      </c>
      <c r="AL14" s="4">
        <v>-0.99502286789705474</v>
      </c>
      <c r="AM14" s="4">
        <v>0.4530475011243133</v>
      </c>
      <c r="AN14" s="4">
        <v>-0.13791218705056271</v>
      </c>
      <c r="AO14" s="4">
        <v>0.38059166866180039</v>
      </c>
      <c r="AP14" s="4">
        <v>-0.26207993347621938</v>
      </c>
      <c r="AQ14" s="4">
        <v>1</v>
      </c>
      <c r="AR14" s="4">
        <v>-0.32744457910236463</v>
      </c>
      <c r="AS14" s="4">
        <v>0.55095148417006379</v>
      </c>
    </row>
    <row r="15" spans="1:45" x14ac:dyDescent="0.25">
      <c r="A15">
        <v>13</v>
      </c>
      <c r="B15">
        <v>50.140999999999998</v>
      </c>
      <c r="C15">
        <v>29.937000000000001</v>
      </c>
      <c r="D15">
        <v>19.914000000000001</v>
      </c>
      <c r="E15">
        <v>300.06799999999998</v>
      </c>
      <c r="F15">
        <v>200.48500000000001</v>
      </c>
      <c r="G15">
        <v>301.64400000000001</v>
      </c>
      <c r="H15">
        <v>85.274000000000001</v>
      </c>
      <c r="I15">
        <v>0.11</v>
      </c>
      <c r="J15">
        <v>0.79600000000000004</v>
      </c>
      <c r="K15">
        <v>234.46700000000001</v>
      </c>
      <c r="L15">
        <v>24.331</v>
      </c>
      <c r="M15">
        <v>66.947000000000003</v>
      </c>
      <c r="N15">
        <v>21.452000000000002</v>
      </c>
      <c r="Q15">
        <f t="shared" si="0"/>
        <v>2.1376585521414575</v>
      </c>
      <c r="R15">
        <f t="shared" si="1"/>
        <v>-1.0054321925836429</v>
      </c>
      <c r="S15">
        <f t="shared" si="2"/>
        <v>-0.27352194763900445</v>
      </c>
      <c r="T15">
        <f t="shared" si="3"/>
        <v>0.37728656510607694</v>
      </c>
      <c r="U15">
        <f t="shared" si="4"/>
        <v>0.99362186179006784</v>
      </c>
      <c r="V15">
        <f t="shared" si="5"/>
        <v>0.9789362351420251</v>
      </c>
      <c r="W15">
        <f t="shared" si="6"/>
        <v>-0.421819135977404</v>
      </c>
      <c r="X15">
        <f t="shared" si="7"/>
        <v>0.79399923338042055</v>
      </c>
      <c r="Y15">
        <f t="shared" si="8"/>
        <v>-1.7751607991842264</v>
      </c>
      <c r="Z15">
        <f t="shared" si="9"/>
        <v>-1.0123727729201426</v>
      </c>
      <c r="AA15">
        <f t="shared" si="10"/>
        <v>-1.0531116967597021</v>
      </c>
      <c r="AB15">
        <f t="shared" si="11"/>
        <v>1.1302172503440737</v>
      </c>
      <c r="AC15">
        <f t="shared" si="12"/>
        <v>-8.1024087422056301E-2</v>
      </c>
      <c r="AF15" s="4" t="s">
        <v>29</v>
      </c>
      <c r="AG15" s="4">
        <v>0.55701559295429914</v>
      </c>
      <c r="AH15" s="4">
        <v>-0.25292104777335783</v>
      </c>
      <c r="AI15" s="4">
        <v>-5.0656914083562654E-2</v>
      </c>
      <c r="AJ15" s="4">
        <v>0.21419756467949413</v>
      </c>
      <c r="AK15" s="4">
        <v>0.95674194228986287</v>
      </c>
      <c r="AL15" s="4">
        <v>0.30992191210630227</v>
      </c>
      <c r="AM15" s="4">
        <v>-0.25743733470783337</v>
      </c>
      <c r="AN15" s="4">
        <v>-9.2100636089475357E-2</v>
      </c>
      <c r="AO15" s="4">
        <v>0.16210151855076266</v>
      </c>
      <c r="AP15" s="4">
        <v>6.7293534872705438E-2</v>
      </c>
      <c r="AQ15" s="4">
        <v>-0.32744457910236463</v>
      </c>
      <c r="AR15" s="4">
        <v>1</v>
      </c>
      <c r="AS15" s="4">
        <v>-0.23746853105559068</v>
      </c>
    </row>
    <row r="16" spans="1:45" x14ac:dyDescent="0.25">
      <c r="A16">
        <v>14</v>
      </c>
      <c r="B16">
        <v>50.034999999999997</v>
      </c>
      <c r="C16">
        <v>29.965</v>
      </c>
      <c r="D16">
        <v>20.113</v>
      </c>
      <c r="E16">
        <v>300.10500000000002</v>
      </c>
      <c r="F16">
        <v>199.95500000000001</v>
      </c>
      <c r="G16">
        <v>298.23899999999998</v>
      </c>
      <c r="H16">
        <v>86.885999999999996</v>
      </c>
      <c r="I16">
        <v>0.109</v>
      </c>
      <c r="J16">
        <v>0.80200000000000005</v>
      </c>
      <c r="K16">
        <v>234.441</v>
      </c>
      <c r="L16">
        <v>25.259</v>
      </c>
      <c r="M16">
        <v>66.745999999999995</v>
      </c>
      <c r="N16">
        <v>21.728999999999999</v>
      </c>
      <c r="Q16">
        <f t="shared" si="0"/>
        <v>0.6024837111726058</v>
      </c>
      <c r="R16">
        <f t="shared" si="1"/>
        <v>-0.58733167685579246</v>
      </c>
      <c r="S16">
        <f t="shared" si="2"/>
        <v>1.2511522142701892</v>
      </c>
      <c r="T16">
        <f t="shared" si="3"/>
        <v>0.43978292195850827</v>
      </c>
      <c r="U16">
        <f t="shared" si="4"/>
        <v>-1.0227903266631947E-2</v>
      </c>
      <c r="V16">
        <f t="shared" si="5"/>
        <v>-1.0003665719471055</v>
      </c>
      <c r="W16">
        <f t="shared" si="6"/>
        <v>1.3974240117855785</v>
      </c>
      <c r="X16">
        <f t="shared" si="7"/>
        <v>-0.79399923338042055</v>
      </c>
      <c r="Y16">
        <f t="shared" si="8"/>
        <v>0.8226354923049628</v>
      </c>
      <c r="Z16">
        <f t="shared" si="9"/>
        <v>-1.5947110936267292</v>
      </c>
      <c r="AA16">
        <f t="shared" si="10"/>
        <v>1.1363162502039252</v>
      </c>
      <c r="AB16">
        <f t="shared" si="11"/>
        <v>-3.9575063348802696E-2</v>
      </c>
      <c r="AC16">
        <f t="shared" si="12"/>
        <v>1.2737247384883164</v>
      </c>
      <c r="AF16" s="4" t="s">
        <v>30</v>
      </c>
      <c r="AG16" s="4">
        <v>-0.33355342787351289</v>
      </c>
      <c r="AH16" s="4">
        <v>-8.4011436183590124E-2</v>
      </c>
      <c r="AI16" s="4">
        <v>6.366190197483193E-2</v>
      </c>
      <c r="AJ16" s="4">
        <v>-5.6715889115574958E-2</v>
      </c>
      <c r="AK16" s="4">
        <v>-0.21384528018185966</v>
      </c>
      <c r="AL16" s="4">
        <v>-0.54055265982890677</v>
      </c>
      <c r="AM16" s="4">
        <v>0.9548269787218252</v>
      </c>
      <c r="AN16" s="4">
        <v>-2.9057673077990176E-2</v>
      </c>
      <c r="AO16" s="4">
        <v>0.28362703391513344</v>
      </c>
      <c r="AP16" s="4">
        <v>-0.25878904047902407</v>
      </c>
      <c r="AQ16" s="4">
        <v>0.55095148417006379</v>
      </c>
      <c r="AR16" s="4">
        <v>-0.23746853105559068</v>
      </c>
      <c r="AS16" s="4">
        <v>1</v>
      </c>
    </row>
    <row r="17" spans="1:29" x14ac:dyDescent="0.25">
      <c r="A17">
        <v>15</v>
      </c>
      <c r="B17">
        <v>49.981999999999999</v>
      </c>
      <c r="C17">
        <v>29.93</v>
      </c>
      <c r="D17">
        <v>19.901</v>
      </c>
      <c r="E17">
        <v>300.11599999999999</v>
      </c>
      <c r="F17">
        <v>200.2</v>
      </c>
      <c r="G17">
        <v>300.447</v>
      </c>
      <c r="H17">
        <v>85.638000000000005</v>
      </c>
      <c r="I17">
        <v>0.11</v>
      </c>
      <c r="J17">
        <v>0.80200000000000005</v>
      </c>
      <c r="K17">
        <v>234.47200000000001</v>
      </c>
      <c r="L17">
        <v>24.704999999999998</v>
      </c>
      <c r="M17">
        <v>66.808000000000007</v>
      </c>
      <c r="N17">
        <v>21.454999999999998</v>
      </c>
      <c r="Q17">
        <f t="shared" si="0"/>
        <v>-0.16510370931176871</v>
      </c>
      <c r="R17">
        <f t="shared" si="1"/>
        <v>-1.1099573215156322</v>
      </c>
      <c r="S17">
        <f t="shared" si="2"/>
        <v>-0.37312377731147817</v>
      </c>
      <c r="T17">
        <f t="shared" si="3"/>
        <v>0.45836291994159084</v>
      </c>
      <c r="U17">
        <f t="shared" si="4"/>
        <v>0.45381585605198499</v>
      </c>
      <c r="V17">
        <f t="shared" si="5"/>
        <v>0.28312846419175364</v>
      </c>
      <c r="W17">
        <f t="shared" si="6"/>
        <v>-1.1022296159950117E-2</v>
      </c>
      <c r="X17">
        <f t="shared" si="7"/>
        <v>0.79399923338042055</v>
      </c>
      <c r="Y17">
        <f t="shared" si="8"/>
        <v>0.8226354923049628</v>
      </c>
      <c r="Z17">
        <f t="shared" si="9"/>
        <v>-0.90038463432286908</v>
      </c>
      <c r="AA17">
        <f t="shared" si="10"/>
        <v>-0.17073448537565766</v>
      </c>
      <c r="AB17">
        <f t="shared" si="11"/>
        <v>0.32125639659631877</v>
      </c>
      <c r="AC17">
        <f t="shared" si="12"/>
        <v>-6.6351717466364979E-2</v>
      </c>
    </row>
    <row r="18" spans="1:29" x14ac:dyDescent="0.25">
      <c r="A18">
        <v>16</v>
      </c>
      <c r="B18">
        <v>49.978999999999999</v>
      </c>
      <c r="C18">
        <v>30.030999999999999</v>
      </c>
      <c r="D18">
        <v>19.93</v>
      </c>
      <c r="E18">
        <v>300.935</v>
      </c>
      <c r="F18">
        <v>199.60599999999999</v>
      </c>
      <c r="G18">
        <v>298.029</v>
      </c>
      <c r="H18">
        <v>84.843000000000004</v>
      </c>
      <c r="I18">
        <v>0.111</v>
      </c>
      <c r="J18">
        <v>0.79900000000000004</v>
      </c>
      <c r="K18">
        <v>234.46799999999999</v>
      </c>
      <c r="L18">
        <v>25.227</v>
      </c>
      <c r="M18">
        <v>66.561999999999998</v>
      </c>
      <c r="N18">
        <v>21.332000000000001</v>
      </c>
      <c r="Q18">
        <f t="shared" si="0"/>
        <v>-0.2085520538674919</v>
      </c>
      <c r="R18">
        <f t="shared" si="1"/>
        <v>0.39819096735988541</v>
      </c>
      <c r="S18">
        <f t="shared" si="2"/>
        <v>-0.15093508034983538</v>
      </c>
      <c r="T18">
        <f t="shared" si="3"/>
        <v>1.8417282243225233</v>
      </c>
      <c r="U18">
        <f t="shared" si="4"/>
        <v>-0.67125350327569899</v>
      </c>
      <c r="V18">
        <f t="shared" si="5"/>
        <v>-1.122438110710299</v>
      </c>
      <c r="W18">
        <f t="shared" si="6"/>
        <v>-0.90822967982718272</v>
      </c>
      <c r="X18">
        <f t="shared" si="7"/>
        <v>2.3819977001412616</v>
      </c>
      <c r="Y18">
        <f t="shared" si="8"/>
        <v>-0.47626265343963181</v>
      </c>
      <c r="Z18">
        <f t="shared" si="9"/>
        <v>-0.98997514520119723</v>
      </c>
      <c r="AA18">
        <f t="shared" si="10"/>
        <v>1.0608187347913862</v>
      </c>
      <c r="AB18">
        <f t="shared" si="11"/>
        <v>-1.1104297186695895</v>
      </c>
      <c r="AC18">
        <f t="shared" si="12"/>
        <v>-0.66791888565038682</v>
      </c>
    </row>
    <row r="19" spans="1:29" x14ac:dyDescent="0.25">
      <c r="A19">
        <v>17</v>
      </c>
      <c r="B19">
        <v>50.045999999999999</v>
      </c>
      <c r="C19">
        <v>29.943999999999999</v>
      </c>
      <c r="D19">
        <v>19.991</v>
      </c>
      <c r="E19">
        <v>299.78300000000002</v>
      </c>
      <c r="F19">
        <v>199.54499999999999</v>
      </c>
      <c r="G19">
        <v>300.935</v>
      </c>
      <c r="H19">
        <v>86.150999999999996</v>
      </c>
      <c r="I19">
        <v>0.11</v>
      </c>
      <c r="J19">
        <v>0.79600000000000004</v>
      </c>
      <c r="K19">
        <v>234.49700000000001</v>
      </c>
      <c r="L19">
        <v>24.494</v>
      </c>
      <c r="M19">
        <v>66.653999999999996</v>
      </c>
      <c r="N19">
        <v>21.507999999999999</v>
      </c>
      <c r="Q19">
        <f t="shared" si="0"/>
        <v>0.76179430787695845</v>
      </c>
      <c r="R19">
        <f t="shared" si="1"/>
        <v>-0.90090706365170681</v>
      </c>
      <c r="S19">
        <f t="shared" si="2"/>
        <v>0.31642735119017279</v>
      </c>
      <c r="T19">
        <f t="shared" si="3"/>
        <v>-0.104104291729715</v>
      </c>
      <c r="U19">
        <f t="shared" si="4"/>
        <v>-0.78679092906525672</v>
      </c>
      <c r="V19">
        <f t="shared" si="5"/>
        <v>0.56679946855577312</v>
      </c>
      <c r="W19">
        <f t="shared" si="6"/>
        <v>0.56793039292342251</v>
      </c>
      <c r="X19">
        <f t="shared" si="7"/>
        <v>0.79399923338042055</v>
      </c>
      <c r="Y19">
        <f t="shared" si="8"/>
        <v>-1.7751607991842264</v>
      </c>
      <c r="Z19">
        <f t="shared" si="9"/>
        <v>-0.34044394133586453</v>
      </c>
      <c r="AA19">
        <f t="shared" si="10"/>
        <v>-0.66854622762708182</v>
      </c>
      <c r="AB19">
        <f t="shared" si="11"/>
        <v>-0.57500239100919615</v>
      </c>
      <c r="AC19">
        <f t="shared" si="12"/>
        <v>0.19286015175114954</v>
      </c>
    </row>
    <row r="20" spans="1:29" x14ac:dyDescent="0.25">
      <c r="A20">
        <v>18</v>
      </c>
      <c r="B20">
        <v>49.914000000000001</v>
      </c>
      <c r="C20">
        <v>30.053000000000001</v>
      </c>
      <c r="D20">
        <v>19.783000000000001</v>
      </c>
      <c r="E20">
        <v>300.709</v>
      </c>
      <c r="F20">
        <v>199.52099999999999</v>
      </c>
      <c r="G20">
        <v>298.13099999999997</v>
      </c>
      <c r="H20">
        <v>86.772000000000006</v>
      </c>
      <c r="I20">
        <v>0.11</v>
      </c>
      <c r="J20">
        <v>0.80400000000000005</v>
      </c>
      <c r="K20">
        <v>234.48</v>
      </c>
      <c r="L20">
        <v>25.204999999999998</v>
      </c>
      <c r="M20">
        <v>66.67</v>
      </c>
      <c r="N20">
        <v>21.788</v>
      </c>
      <c r="Q20">
        <f t="shared" si="0"/>
        <v>-1.1499328525747592</v>
      </c>
      <c r="R20">
        <f t="shared" si="1"/>
        <v>0.72669851543181341</v>
      </c>
      <c r="S20">
        <f t="shared" si="2"/>
        <v>-1.2772019235691887</v>
      </c>
      <c r="T20">
        <f t="shared" si="3"/>
        <v>1.4599937203053279</v>
      </c>
      <c r="U20">
        <f t="shared" si="4"/>
        <v>-0.83224827691688252</v>
      </c>
      <c r="V20">
        <f t="shared" si="5"/>
        <v>-1.0631462204538993</v>
      </c>
      <c r="W20">
        <f t="shared" si="6"/>
        <v>1.2687678586559492</v>
      </c>
      <c r="X20">
        <f t="shared" si="7"/>
        <v>0.79399923338042055</v>
      </c>
      <c r="Y20">
        <f t="shared" si="8"/>
        <v>1.6885675894680259</v>
      </c>
      <c r="Z20">
        <f t="shared" si="9"/>
        <v>-0.721203612567486</v>
      </c>
      <c r="AA20">
        <f t="shared" si="10"/>
        <v>1.0089141929452612</v>
      </c>
      <c r="AB20">
        <f t="shared" si="11"/>
        <v>-0.48188459489431273</v>
      </c>
      <c r="AC20">
        <f t="shared" si="12"/>
        <v>1.5622813476172481</v>
      </c>
    </row>
    <row r="21" spans="1:29" x14ac:dyDescent="0.25">
      <c r="A21">
        <v>19</v>
      </c>
      <c r="B21">
        <v>50.061</v>
      </c>
      <c r="C21">
        <v>30.023</v>
      </c>
      <c r="D21">
        <v>19.873999999999999</v>
      </c>
      <c r="E21">
        <v>300.31200000000001</v>
      </c>
      <c r="F21">
        <v>200.977</v>
      </c>
      <c r="G21">
        <v>301.55399999999997</v>
      </c>
      <c r="H21">
        <v>84.738</v>
      </c>
      <c r="I21">
        <v>0.109</v>
      </c>
      <c r="J21">
        <v>0.80100000000000005</v>
      </c>
      <c r="K21">
        <v>234.50700000000001</v>
      </c>
      <c r="L21">
        <v>24.323</v>
      </c>
      <c r="M21">
        <v>67.119</v>
      </c>
      <c r="N21">
        <v>21.228999999999999</v>
      </c>
      <c r="Q21">
        <f t="shared" si="0"/>
        <v>0.97903603065557432</v>
      </c>
      <c r="R21">
        <f t="shared" si="1"/>
        <v>0.2787336771519357</v>
      </c>
      <c r="S21">
        <f t="shared" si="2"/>
        <v>-0.57998911586198165</v>
      </c>
      <c r="T21">
        <f t="shared" si="3"/>
        <v>0.78942470218663807</v>
      </c>
      <c r="U21">
        <f t="shared" si="4"/>
        <v>1.9254974927483424</v>
      </c>
      <c r="V21">
        <f t="shared" si="5"/>
        <v>0.92661986138634722</v>
      </c>
      <c r="W21">
        <f t="shared" si="6"/>
        <v>-1.0267287682360666</v>
      </c>
      <c r="X21">
        <f t="shared" si="7"/>
        <v>-0.79399923338042055</v>
      </c>
      <c r="Y21">
        <f t="shared" si="8"/>
        <v>0.38966944372343126</v>
      </c>
      <c r="Z21">
        <f t="shared" si="9"/>
        <v>-0.11646766414131732</v>
      </c>
      <c r="AA21">
        <f t="shared" si="10"/>
        <v>-1.0719860756128345</v>
      </c>
      <c r="AB21">
        <f t="shared" si="11"/>
        <v>2.1312335585787188</v>
      </c>
      <c r="AC21">
        <f t="shared" si="12"/>
        <v>-1.171670254129707</v>
      </c>
    </row>
    <row r="22" spans="1:29" x14ac:dyDescent="0.25">
      <c r="A22">
        <v>20</v>
      </c>
      <c r="B22">
        <v>50</v>
      </c>
      <c r="C22">
        <v>29.914999999999999</v>
      </c>
      <c r="D22">
        <v>20.059999999999999</v>
      </c>
      <c r="E22">
        <v>299.173</v>
      </c>
      <c r="F22">
        <v>199.74199999999999</v>
      </c>
      <c r="G22">
        <v>300.24400000000003</v>
      </c>
      <c r="H22">
        <v>86.83</v>
      </c>
      <c r="I22">
        <v>0.11</v>
      </c>
      <c r="J22">
        <v>0.80300000000000005</v>
      </c>
      <c r="K22">
        <v>234.48</v>
      </c>
      <c r="L22">
        <v>24.751999999999999</v>
      </c>
      <c r="M22">
        <v>66.686000000000007</v>
      </c>
      <c r="N22">
        <v>21.777000000000001</v>
      </c>
      <c r="Q22">
        <f t="shared" si="0"/>
        <v>9.5586358022570442E-2</v>
      </c>
      <c r="R22">
        <f t="shared" si="1"/>
        <v>-1.3339397406555709</v>
      </c>
      <c r="S22">
        <f t="shared" si="2"/>
        <v>0.84508321637476558</v>
      </c>
      <c r="T22">
        <f t="shared" si="3"/>
        <v>-1.1344496344310218</v>
      </c>
      <c r="U22">
        <f t="shared" si="4"/>
        <v>-0.41366186544983757</v>
      </c>
      <c r="V22">
        <f t="shared" si="5"/>
        <v>0.16512597672067006</v>
      </c>
      <c r="W22">
        <f t="shared" si="6"/>
        <v>1.3342244979675124</v>
      </c>
      <c r="X22">
        <f t="shared" si="7"/>
        <v>0.79399923338042055</v>
      </c>
      <c r="Y22">
        <f t="shared" si="8"/>
        <v>1.2556015408864944</v>
      </c>
      <c r="Z22">
        <f t="shared" si="9"/>
        <v>-0.721203612567486</v>
      </c>
      <c r="AA22">
        <f t="shared" si="10"/>
        <v>-5.9847509613489877E-2</v>
      </c>
      <c r="AB22">
        <f t="shared" si="11"/>
        <v>-0.38876679877942932</v>
      </c>
      <c r="AC22">
        <f t="shared" si="12"/>
        <v>1.5084826577796555</v>
      </c>
    </row>
    <row r="23" spans="1:29" x14ac:dyDescent="0.25">
      <c r="A23">
        <v>21</v>
      </c>
      <c r="B23">
        <v>49.920999999999999</v>
      </c>
      <c r="C23">
        <v>29.934000000000001</v>
      </c>
      <c r="D23">
        <v>20.088999999999999</v>
      </c>
      <c r="E23">
        <v>299.017</v>
      </c>
      <c r="F23">
        <v>199.59800000000001</v>
      </c>
      <c r="G23">
        <v>297.56900000000002</v>
      </c>
      <c r="H23">
        <v>86.272999999999996</v>
      </c>
      <c r="I23">
        <v>0.109</v>
      </c>
      <c r="J23">
        <v>0.79900000000000004</v>
      </c>
      <c r="K23">
        <v>234.47900000000001</v>
      </c>
      <c r="L23">
        <v>25.427</v>
      </c>
      <c r="M23">
        <v>66.602000000000004</v>
      </c>
      <c r="N23">
        <v>21.623000000000001</v>
      </c>
      <c r="Q23">
        <f t="shared" si="0"/>
        <v>-1.0485533819447725</v>
      </c>
      <c r="R23">
        <f t="shared" si="1"/>
        <v>-1.0502286764116306</v>
      </c>
      <c r="S23">
        <f t="shared" si="2"/>
        <v>1.0672719133364084</v>
      </c>
      <c r="T23">
        <f t="shared" si="3"/>
        <v>-1.3979477876464421</v>
      </c>
      <c r="U23">
        <f t="shared" si="4"/>
        <v>-0.68640595255953829</v>
      </c>
      <c r="V23">
        <f t="shared" si="5"/>
        <v>-1.3898329099058795</v>
      </c>
      <c r="W23">
        <f t="shared" si="6"/>
        <v>0.70561504802707287</v>
      </c>
      <c r="X23">
        <f t="shared" si="7"/>
        <v>-0.79399923338042055</v>
      </c>
      <c r="Y23">
        <f t="shared" si="8"/>
        <v>-0.47626265343963181</v>
      </c>
      <c r="Z23">
        <f t="shared" si="9"/>
        <v>-0.74360124028643138</v>
      </c>
      <c r="AA23">
        <f t="shared" si="10"/>
        <v>1.5326782061197521</v>
      </c>
      <c r="AB23">
        <f t="shared" si="11"/>
        <v>-0.87763522838242247</v>
      </c>
      <c r="AC23">
        <f t="shared" si="12"/>
        <v>0.75530100005330469</v>
      </c>
    </row>
    <row r="24" spans="1:29" x14ac:dyDescent="0.25">
      <c r="A24">
        <v>22</v>
      </c>
      <c r="B24">
        <v>49.978999999999999</v>
      </c>
      <c r="C24">
        <v>29.946999999999999</v>
      </c>
      <c r="D24">
        <v>19.800999999999998</v>
      </c>
      <c r="E24">
        <v>299.66899999999998</v>
      </c>
      <c r="F24">
        <v>199.69800000000001</v>
      </c>
      <c r="G24">
        <v>298.67</v>
      </c>
      <c r="H24">
        <v>85.206999999999994</v>
      </c>
      <c r="I24">
        <v>0.109</v>
      </c>
      <c r="J24">
        <v>0.80200000000000005</v>
      </c>
      <c r="K24">
        <v>234.52</v>
      </c>
      <c r="L24">
        <v>25.053000000000001</v>
      </c>
      <c r="M24">
        <v>66.727999999999994</v>
      </c>
      <c r="N24">
        <v>21.376999999999999</v>
      </c>
      <c r="Q24">
        <f t="shared" si="0"/>
        <v>-0.2085520538674919</v>
      </c>
      <c r="R24">
        <f t="shared" si="1"/>
        <v>-0.85611057982371908</v>
      </c>
      <c r="S24">
        <f t="shared" si="2"/>
        <v>-1.1392916978688803</v>
      </c>
      <c r="T24">
        <f t="shared" si="3"/>
        <v>-0.29666063446410856</v>
      </c>
      <c r="U24">
        <f t="shared" si="4"/>
        <v>-0.49700033651111558</v>
      </c>
      <c r="V24">
        <f t="shared" si="5"/>
        <v>-0.74982927096164687</v>
      </c>
      <c r="W24">
        <f t="shared" si="6"/>
        <v>-0.49743284000974486</v>
      </c>
      <c r="X24">
        <f t="shared" si="7"/>
        <v>-0.79399923338042055</v>
      </c>
      <c r="Y24">
        <f t="shared" si="8"/>
        <v>0.8226354923049628</v>
      </c>
      <c r="Z24">
        <f t="shared" si="9"/>
        <v>0.17470149621197598</v>
      </c>
      <c r="AA24">
        <f t="shared" si="10"/>
        <v>0.65030099473570779</v>
      </c>
      <c r="AB24">
        <f t="shared" si="11"/>
        <v>-0.14433258397801552</v>
      </c>
      <c r="AC24">
        <f t="shared" si="12"/>
        <v>-0.44783333631477373</v>
      </c>
    </row>
    <row r="25" spans="1:29" x14ac:dyDescent="0.25">
      <c r="A25">
        <v>23</v>
      </c>
      <c r="B25">
        <v>50.003</v>
      </c>
      <c r="C25">
        <v>29.962</v>
      </c>
      <c r="D25">
        <v>20.053000000000001</v>
      </c>
      <c r="E25">
        <v>299.81799999999998</v>
      </c>
      <c r="F25">
        <v>200.90299999999999</v>
      </c>
      <c r="G25">
        <v>298.286</v>
      </c>
      <c r="H25">
        <v>86.918999999999997</v>
      </c>
      <c r="I25">
        <v>0.109</v>
      </c>
      <c r="J25">
        <v>0.80100000000000005</v>
      </c>
      <c r="K25">
        <v>234.53700000000001</v>
      </c>
      <c r="L25">
        <v>25.141999999999999</v>
      </c>
      <c r="M25">
        <v>67.001000000000005</v>
      </c>
      <c r="N25">
        <v>21.742999999999999</v>
      </c>
      <c r="Q25">
        <f t="shared" si="0"/>
        <v>0.13903470257829365</v>
      </c>
      <c r="R25">
        <f t="shared" si="1"/>
        <v>-0.63212816068378019</v>
      </c>
      <c r="S25">
        <f t="shared" si="2"/>
        <v>0.79145146193576432</v>
      </c>
      <c r="T25">
        <f t="shared" si="3"/>
        <v>-4.4986116328875433E-2</v>
      </c>
      <c r="U25">
        <f t="shared" si="4"/>
        <v>1.7853373368724783</v>
      </c>
      <c r="V25">
        <f t="shared" si="5"/>
        <v>-0.97304579898580201</v>
      </c>
      <c r="W25">
        <f t="shared" si="6"/>
        <v>1.4346665824283706</v>
      </c>
      <c r="X25">
        <f t="shared" si="7"/>
        <v>-0.79399923338042055</v>
      </c>
      <c r="Y25">
        <f t="shared" si="8"/>
        <v>0.38966944372343126</v>
      </c>
      <c r="Z25">
        <f t="shared" si="9"/>
        <v>0.55546116744296081</v>
      </c>
      <c r="AA25">
        <f t="shared" si="10"/>
        <v>0.86027845947682813</v>
      </c>
      <c r="AB25">
        <f t="shared" si="11"/>
        <v>1.444489812231712</v>
      </c>
      <c r="AC25">
        <f t="shared" si="12"/>
        <v>1.3421957982816177</v>
      </c>
    </row>
    <row r="26" spans="1:29" x14ac:dyDescent="0.25">
      <c r="A26">
        <v>24</v>
      </c>
      <c r="B26">
        <v>49.908000000000001</v>
      </c>
      <c r="C26">
        <v>30.097999999999999</v>
      </c>
      <c r="D26">
        <v>19.933</v>
      </c>
      <c r="E26">
        <v>299.66000000000003</v>
      </c>
      <c r="F26">
        <v>199.41800000000001</v>
      </c>
      <c r="G26">
        <v>298.41899999999998</v>
      </c>
      <c r="H26">
        <v>86.471000000000004</v>
      </c>
      <c r="I26">
        <v>0.109</v>
      </c>
      <c r="J26">
        <v>0.79700000000000004</v>
      </c>
      <c r="K26">
        <v>234.559</v>
      </c>
      <c r="L26">
        <v>25.190999999999999</v>
      </c>
      <c r="M26">
        <v>66.561000000000007</v>
      </c>
      <c r="N26">
        <v>21.556999999999999</v>
      </c>
      <c r="Q26">
        <f t="shared" si="0"/>
        <v>-1.2368295416862054</v>
      </c>
      <c r="R26">
        <f t="shared" si="1"/>
        <v>1.3986457728515769</v>
      </c>
      <c r="S26">
        <f t="shared" si="2"/>
        <v>-0.12795004273311278</v>
      </c>
      <c r="T26">
        <f t="shared" si="3"/>
        <v>-0.31186245099569543</v>
      </c>
      <c r="U26">
        <f t="shared" si="4"/>
        <v>-1.0273360614467315</v>
      </c>
      <c r="V26">
        <f t="shared" si="5"/>
        <v>-0.89573382443578287</v>
      </c>
      <c r="W26">
        <f t="shared" si="6"/>
        <v>0.92907047188382563</v>
      </c>
      <c r="X26">
        <f t="shared" si="7"/>
        <v>-0.79399923338042055</v>
      </c>
      <c r="Y26">
        <f t="shared" si="8"/>
        <v>-1.342194750602695</v>
      </c>
      <c r="Z26">
        <f t="shared" si="9"/>
        <v>1.0482089772712193</v>
      </c>
      <c r="AA26">
        <f t="shared" si="10"/>
        <v>0.97588402995227697</v>
      </c>
      <c r="AB26">
        <f t="shared" si="11"/>
        <v>-1.116249580926713</v>
      </c>
      <c r="AC26">
        <f t="shared" si="12"/>
        <v>0.4325088610277133</v>
      </c>
    </row>
    <row r="27" spans="1:29" x14ac:dyDescent="0.25">
      <c r="A27">
        <v>25</v>
      </c>
      <c r="B27">
        <v>49.978999999999999</v>
      </c>
      <c r="C27">
        <v>30.058</v>
      </c>
      <c r="D27">
        <v>19.797000000000001</v>
      </c>
      <c r="E27">
        <v>300.27699999999999</v>
      </c>
      <c r="F27">
        <v>199.73</v>
      </c>
      <c r="G27">
        <v>301.88499999999999</v>
      </c>
      <c r="H27">
        <v>83.78</v>
      </c>
      <c r="I27">
        <v>0.109</v>
      </c>
      <c r="J27">
        <v>0.8</v>
      </c>
      <c r="K27">
        <v>234.58500000000001</v>
      </c>
      <c r="L27">
        <v>24.361999999999998</v>
      </c>
      <c r="M27">
        <v>66.751999999999995</v>
      </c>
      <c r="N27">
        <v>21.065999999999999</v>
      </c>
      <c r="Q27">
        <f t="shared" si="0"/>
        <v>-0.2085520538674919</v>
      </c>
      <c r="R27">
        <f t="shared" si="1"/>
        <v>0.80135932181177527</v>
      </c>
      <c r="S27">
        <f t="shared" si="2"/>
        <v>-1.1699384146911589</v>
      </c>
      <c r="T27">
        <f t="shared" si="3"/>
        <v>0.73030652678570251</v>
      </c>
      <c r="U27">
        <f t="shared" si="4"/>
        <v>-0.43639053937565042</v>
      </c>
      <c r="V27">
        <f t="shared" si="5"/>
        <v>1.119027858198838</v>
      </c>
      <c r="W27">
        <f t="shared" si="6"/>
        <v>-2.1078918796237467</v>
      </c>
      <c r="X27">
        <f t="shared" si="7"/>
        <v>-0.79399923338042055</v>
      </c>
      <c r="Y27">
        <f t="shared" si="8"/>
        <v>-4.3296604858100281E-2</v>
      </c>
      <c r="Z27">
        <f t="shared" si="9"/>
        <v>1.630547297977806</v>
      </c>
      <c r="AA27">
        <f t="shared" si="10"/>
        <v>-0.9799734787038078</v>
      </c>
      <c r="AB27">
        <f t="shared" si="11"/>
        <v>-4.6558898057317642E-3</v>
      </c>
      <c r="AC27">
        <f t="shared" si="12"/>
        <v>-1.9688690217231839</v>
      </c>
    </row>
    <row r="28" spans="1:29" x14ac:dyDescent="0.25">
      <c r="A28">
        <v>26</v>
      </c>
      <c r="B28">
        <v>49.963999999999999</v>
      </c>
      <c r="C28">
        <v>29.949000000000002</v>
      </c>
      <c r="D28">
        <v>19.788</v>
      </c>
      <c r="E28">
        <v>300.98599999999999</v>
      </c>
      <c r="F28">
        <v>200.05699999999999</v>
      </c>
      <c r="G28">
        <v>300.74900000000002</v>
      </c>
      <c r="H28">
        <v>87.049000000000007</v>
      </c>
      <c r="I28">
        <v>0.109</v>
      </c>
      <c r="J28">
        <v>0.80100000000000005</v>
      </c>
      <c r="K28">
        <v>234.559</v>
      </c>
      <c r="L28">
        <v>24.606000000000002</v>
      </c>
      <c r="M28">
        <v>66.817999999999998</v>
      </c>
      <c r="N28">
        <v>21.753</v>
      </c>
      <c r="Q28">
        <f t="shared" si="0"/>
        <v>-0.42579377664610785</v>
      </c>
      <c r="R28">
        <f t="shared" si="1"/>
        <v>-0.82624625727169188</v>
      </c>
      <c r="S28">
        <f t="shared" si="2"/>
        <v>-1.2388935275413266</v>
      </c>
      <c r="T28">
        <f t="shared" si="3"/>
        <v>1.9278718513352329</v>
      </c>
      <c r="U28">
        <f t="shared" si="4"/>
        <v>0.18296582510272374</v>
      </c>
      <c r="V28">
        <f t="shared" si="5"/>
        <v>0.45867896279408954</v>
      </c>
      <c r="W28">
        <f t="shared" si="6"/>
        <v>1.581379739506042</v>
      </c>
      <c r="X28">
        <f t="shared" si="7"/>
        <v>-0.79399923338042055</v>
      </c>
      <c r="Y28">
        <f t="shared" si="8"/>
        <v>0.38966944372343126</v>
      </c>
      <c r="Z28">
        <f t="shared" si="9"/>
        <v>1.0482089772712193</v>
      </c>
      <c r="AA28">
        <f t="shared" si="10"/>
        <v>-0.40430492368319165</v>
      </c>
      <c r="AB28">
        <f t="shared" si="11"/>
        <v>0.37945501916804852</v>
      </c>
      <c r="AC28">
        <f t="shared" si="12"/>
        <v>1.3911036981339859</v>
      </c>
    </row>
    <row r="29" spans="1:29" x14ac:dyDescent="0.25">
      <c r="A29">
        <v>27</v>
      </c>
      <c r="B29">
        <v>49.930999999999997</v>
      </c>
      <c r="C29">
        <v>29.966000000000001</v>
      </c>
      <c r="D29">
        <v>19.965</v>
      </c>
      <c r="E29">
        <v>299.35899999999998</v>
      </c>
      <c r="F29">
        <v>199.59100000000001</v>
      </c>
      <c r="G29">
        <v>299.57900000000001</v>
      </c>
      <c r="H29">
        <v>85.61</v>
      </c>
      <c r="I29">
        <v>0.11</v>
      </c>
      <c r="J29">
        <v>0.8</v>
      </c>
      <c r="K29">
        <v>234.54900000000001</v>
      </c>
      <c r="L29">
        <v>24.919</v>
      </c>
      <c r="M29">
        <v>66.596000000000004</v>
      </c>
      <c r="N29">
        <v>21.423999999999999</v>
      </c>
      <c r="Q29">
        <f t="shared" si="0"/>
        <v>-0.90372556675906301</v>
      </c>
      <c r="R29">
        <f t="shared" si="1"/>
        <v>-0.57239951557977886</v>
      </c>
      <c r="S29">
        <f t="shared" si="2"/>
        <v>0.11722369184525262</v>
      </c>
      <c r="T29">
        <f t="shared" si="3"/>
        <v>-0.8202787594434533</v>
      </c>
      <c r="U29">
        <f t="shared" si="4"/>
        <v>-0.69966434568293812</v>
      </c>
      <c r="V29">
        <f t="shared" si="5"/>
        <v>-0.22143389602949176</v>
      </c>
      <c r="W29">
        <f t="shared" si="6"/>
        <v>-4.2622053068991202E-2</v>
      </c>
      <c r="X29">
        <f t="shared" si="7"/>
        <v>0.79399923338042055</v>
      </c>
      <c r="Y29">
        <f t="shared" si="8"/>
        <v>-4.3296604858100281E-2</v>
      </c>
      <c r="Z29">
        <f t="shared" si="9"/>
        <v>0.82423270007667204</v>
      </c>
      <c r="AA29">
        <f t="shared" si="10"/>
        <v>0.33415514894570075</v>
      </c>
      <c r="AB29">
        <f t="shared" si="11"/>
        <v>-0.91255440192549342</v>
      </c>
      <c r="AC29">
        <f t="shared" si="12"/>
        <v>-0.21796620700867661</v>
      </c>
    </row>
    <row r="30" spans="1:29" x14ac:dyDescent="0.25">
      <c r="A30">
        <v>28</v>
      </c>
      <c r="B30">
        <v>49.841999999999999</v>
      </c>
      <c r="C30">
        <v>30.081</v>
      </c>
      <c r="D30">
        <v>19.951000000000001</v>
      </c>
      <c r="E30">
        <v>299.22800000000001</v>
      </c>
      <c r="F30">
        <v>200.13900000000001</v>
      </c>
      <c r="G30">
        <v>298.89100000000002</v>
      </c>
      <c r="H30">
        <v>85.789000000000001</v>
      </c>
      <c r="I30">
        <v>0.109</v>
      </c>
      <c r="J30">
        <v>0.80300000000000005</v>
      </c>
      <c r="K30">
        <v>234.55799999999999</v>
      </c>
      <c r="L30">
        <v>25.067</v>
      </c>
      <c r="M30">
        <v>66.748999999999995</v>
      </c>
      <c r="N30">
        <v>21.606000000000002</v>
      </c>
      <c r="Q30">
        <f t="shared" si="0"/>
        <v>-2.1926931219121157</v>
      </c>
      <c r="R30">
        <f t="shared" si="1"/>
        <v>1.1447990311596639</v>
      </c>
      <c r="S30">
        <f t="shared" si="2"/>
        <v>9.9601829672228727E-3</v>
      </c>
      <c r="T30">
        <f t="shared" si="3"/>
        <v>-1.0415496445153207</v>
      </c>
      <c r="U30">
        <f t="shared" si="4"/>
        <v>0.338278430262481</v>
      </c>
      <c r="V30">
        <f t="shared" si="5"/>
        <v>-0.62136350873941448</v>
      </c>
      <c r="W30">
        <f t="shared" si="6"/>
        <v>0.15939067859948192</v>
      </c>
      <c r="X30">
        <f t="shared" si="7"/>
        <v>-0.79399923338042055</v>
      </c>
      <c r="Y30">
        <f t="shared" si="8"/>
        <v>1.2556015408864944</v>
      </c>
      <c r="Z30">
        <f t="shared" si="9"/>
        <v>1.0258113495516372</v>
      </c>
      <c r="AA30">
        <f t="shared" si="10"/>
        <v>0.68333115772869191</v>
      </c>
      <c r="AB30">
        <f t="shared" si="11"/>
        <v>-2.2115476577267233E-2</v>
      </c>
      <c r="AC30">
        <f t="shared" si="12"/>
        <v>0.67215757030429446</v>
      </c>
    </row>
    <row r="31" spans="1:29" x14ac:dyDescent="0.25">
      <c r="A31">
        <v>29</v>
      </c>
      <c r="B31">
        <v>50.034999999999997</v>
      </c>
      <c r="C31">
        <v>30.012</v>
      </c>
      <c r="D31">
        <v>20.135999999999999</v>
      </c>
      <c r="E31">
        <v>299.529</v>
      </c>
      <c r="F31">
        <v>200.90700000000001</v>
      </c>
      <c r="G31">
        <v>301.87599999999998</v>
      </c>
      <c r="H31">
        <v>85.707999999999998</v>
      </c>
      <c r="I31">
        <v>0.111</v>
      </c>
      <c r="J31">
        <v>0.79900000000000004</v>
      </c>
      <c r="K31">
        <v>234.57499999999999</v>
      </c>
      <c r="L31">
        <v>24.297999999999998</v>
      </c>
      <c r="M31">
        <v>67.040999999999997</v>
      </c>
      <c r="N31">
        <v>21.372</v>
      </c>
      <c r="Q31">
        <f t="shared" si="0"/>
        <v>0.6024837111726058</v>
      </c>
      <c r="R31">
        <f t="shared" si="1"/>
        <v>0.11447990311599822</v>
      </c>
      <c r="S31">
        <f t="shared" si="2"/>
        <v>1.4273708359983868</v>
      </c>
      <c r="T31">
        <f t="shared" si="3"/>
        <v>-0.53313333606765889</v>
      </c>
      <c r="U31">
        <f t="shared" si="4"/>
        <v>1.7929135615144518</v>
      </c>
      <c r="V31">
        <f t="shared" si="5"/>
        <v>1.1137962208232635</v>
      </c>
      <c r="W31">
        <f t="shared" si="6"/>
        <v>6.7977096112628532E-2</v>
      </c>
      <c r="X31">
        <f t="shared" si="7"/>
        <v>2.3819977001412616</v>
      </c>
      <c r="Y31">
        <f t="shared" si="8"/>
        <v>-0.47626265343963181</v>
      </c>
      <c r="Z31">
        <f t="shared" si="9"/>
        <v>1.4065710207826221</v>
      </c>
      <c r="AA31">
        <f t="shared" si="10"/>
        <v>-1.1309685095288855</v>
      </c>
      <c r="AB31">
        <f t="shared" si="11"/>
        <v>1.6772843025187965</v>
      </c>
      <c r="AC31">
        <f t="shared" si="12"/>
        <v>-0.47228728624094907</v>
      </c>
    </row>
    <row r="32" spans="1:29" x14ac:dyDescent="0.25">
      <c r="A32">
        <v>30</v>
      </c>
      <c r="B32">
        <v>49.854999999999997</v>
      </c>
      <c r="C32">
        <v>30.082999999999998</v>
      </c>
      <c r="D32">
        <v>19.835000000000001</v>
      </c>
      <c r="E32">
        <v>299.20400000000001</v>
      </c>
      <c r="F32">
        <v>198.952</v>
      </c>
      <c r="G32">
        <v>299.87400000000002</v>
      </c>
      <c r="H32">
        <v>86.186000000000007</v>
      </c>
      <c r="I32">
        <v>0.11</v>
      </c>
      <c r="J32">
        <v>0.79600000000000004</v>
      </c>
      <c r="K32">
        <v>234.54599999999999</v>
      </c>
      <c r="L32">
        <v>24.815000000000001</v>
      </c>
      <c r="M32">
        <v>66.366</v>
      </c>
      <c r="N32">
        <v>21.498999999999999</v>
      </c>
      <c r="Q32">
        <f t="shared" si="0"/>
        <v>-2.0044169621706827</v>
      </c>
      <c r="R32">
        <f t="shared" si="1"/>
        <v>1.174663353711638</v>
      </c>
      <c r="S32">
        <f t="shared" si="2"/>
        <v>-0.87879460487934824</v>
      </c>
      <c r="T32">
        <f t="shared" si="3"/>
        <v>-1.0820878219330776</v>
      </c>
      <c r="U32">
        <f t="shared" si="4"/>
        <v>-1.9099662322324473</v>
      </c>
      <c r="V32">
        <f t="shared" si="5"/>
        <v>-4.995244871926563E-2</v>
      </c>
      <c r="W32">
        <f t="shared" si="6"/>
        <v>0.60743008905972795</v>
      </c>
      <c r="X32">
        <f t="shared" si="7"/>
        <v>0.79399923338042055</v>
      </c>
      <c r="Y32">
        <f t="shared" si="8"/>
        <v>-1.7751607991842264</v>
      </c>
      <c r="Z32">
        <f t="shared" si="9"/>
        <v>0.75703981691792599</v>
      </c>
      <c r="AA32">
        <f t="shared" si="10"/>
        <v>8.8788223854951512E-2</v>
      </c>
      <c r="AB32">
        <f t="shared" si="11"/>
        <v>-2.2511227210765181</v>
      </c>
      <c r="AC32">
        <f t="shared" si="12"/>
        <v>0.14884304188402345</v>
      </c>
    </row>
    <row r="34" spans="1:29" x14ac:dyDescent="0.25">
      <c r="A34" t="s">
        <v>31</v>
      </c>
      <c r="B34">
        <f>AVERAGE(B3:B32)</f>
        <v>49.993400000000001</v>
      </c>
      <c r="C34">
        <f t="shared" ref="C34:N34" si="13">AVERAGE(C3:C32)</f>
        <v>30.004333333333332</v>
      </c>
      <c r="D34">
        <f t="shared" si="13"/>
        <v>19.949700000000004</v>
      </c>
      <c r="E34">
        <f t="shared" si="13"/>
        <v>299.84463333333332</v>
      </c>
      <c r="F34">
        <f t="shared" si="13"/>
        <v>199.96040000000002</v>
      </c>
      <c r="G34">
        <f t="shared" si="13"/>
        <v>299.95993333333331</v>
      </c>
      <c r="H34">
        <f t="shared" si="13"/>
        <v>85.647766666666683</v>
      </c>
      <c r="I34">
        <f t="shared" si="13"/>
        <v>0.1095</v>
      </c>
      <c r="J34">
        <f t="shared" si="13"/>
        <v>0.80009999999999992</v>
      </c>
      <c r="K34">
        <f t="shared" si="13"/>
        <v>234.51220000000001</v>
      </c>
      <c r="L34">
        <f t="shared" si="13"/>
        <v>24.777366666666669</v>
      </c>
      <c r="M34">
        <f t="shared" si="13"/>
        <v>66.752799999999993</v>
      </c>
      <c r="N34">
        <f t="shared" si="13"/>
        <v>21.468566666666664</v>
      </c>
      <c r="Q34" s="5">
        <f t="shared" ref="Q34:AC34" si="14">AVERAGE(Q3:Q32)</f>
        <v>-2.7385501274087194E-14</v>
      </c>
      <c r="R34" s="5">
        <f t="shared" si="14"/>
        <v>2.3026025530725747E-14</v>
      </c>
      <c r="S34" s="5">
        <f t="shared" si="14"/>
        <v>-2.9017529120286176E-14</v>
      </c>
      <c r="T34" s="5">
        <f t="shared" si="14"/>
        <v>1.9236464273338547E-14</v>
      </c>
      <c r="U34" s="5">
        <f t="shared" si="14"/>
        <v>-4.125588759507082E-14</v>
      </c>
      <c r="V34" s="5">
        <f t="shared" si="14"/>
        <v>1.4318176274249102E-14</v>
      </c>
      <c r="W34" s="5">
        <f t="shared" si="14"/>
        <v>-1.922906278650771E-14</v>
      </c>
      <c r="X34" s="5">
        <f t="shared" si="14"/>
        <v>0</v>
      </c>
      <c r="Y34" s="5">
        <f t="shared" si="14"/>
        <v>5.2876221919480787E-14</v>
      </c>
      <c r="Z34" s="5">
        <f t="shared" si="14"/>
        <v>-1.2731297497718212E-13</v>
      </c>
      <c r="AA34" s="5">
        <f t="shared" si="14"/>
        <v>-6.9809898602575993E-15</v>
      </c>
      <c r="AB34" s="5">
        <f t="shared" si="14"/>
        <v>3.8606155309632112E-14</v>
      </c>
      <c r="AC34" s="5">
        <f t="shared" si="14"/>
        <v>1.0414817156837823E-14</v>
      </c>
    </row>
    <row r="35" spans="1:29" x14ac:dyDescent="0.25">
      <c r="A35" t="s">
        <v>32</v>
      </c>
      <c r="B35">
        <f>_xlfn.STDEV.S(B3:B32)</f>
        <v>6.9047509880441268E-2</v>
      </c>
      <c r="C35">
        <f t="shared" ref="C35:N35" si="15">_xlfn.STDEV.S(C3:C32)</f>
        <v>6.6969541884575004E-2</v>
      </c>
      <c r="D35">
        <f t="shared" si="15"/>
        <v>0.13051969067988317</v>
      </c>
      <c r="E35">
        <f t="shared" si="15"/>
        <v>0.59203450990591833</v>
      </c>
      <c r="F35">
        <f t="shared" si="15"/>
        <v>0.52796744936237094</v>
      </c>
      <c r="G35">
        <f t="shared" si="15"/>
        <v>1.7203027186161606</v>
      </c>
      <c r="H35">
        <f t="shared" si="15"/>
        <v>0.88608276578212064</v>
      </c>
      <c r="I35">
        <f t="shared" si="15"/>
        <v>6.2972352992240316E-4</v>
      </c>
      <c r="J35">
        <f t="shared" si="15"/>
        <v>2.3096499212263096E-3</v>
      </c>
      <c r="K35">
        <f t="shared" si="15"/>
        <v>4.4647585562397944E-2</v>
      </c>
      <c r="L35">
        <f t="shared" si="15"/>
        <v>0.42385500801110293</v>
      </c>
      <c r="M35">
        <f t="shared" si="15"/>
        <v>0.17182537245904597</v>
      </c>
      <c r="N35">
        <f t="shared" si="15"/>
        <v>0.20446594579172805</v>
      </c>
      <c r="Q35" s="5">
        <f t="shared" ref="Q35:AC35" si="16">_xlfn.STDEV.S(Q3:Q32)</f>
        <v>1</v>
      </c>
      <c r="R35" s="5">
        <f t="shared" si="16"/>
        <v>1</v>
      </c>
      <c r="S35" s="5">
        <f t="shared" si="16"/>
        <v>1</v>
      </c>
      <c r="T35" s="5">
        <f t="shared" si="16"/>
        <v>1</v>
      </c>
      <c r="U35" s="5">
        <f t="shared" si="16"/>
        <v>1</v>
      </c>
      <c r="V35" s="5">
        <f t="shared" si="16"/>
        <v>1</v>
      </c>
      <c r="W35" s="5">
        <f t="shared" si="16"/>
        <v>1</v>
      </c>
      <c r="X35" s="5">
        <f t="shared" si="16"/>
        <v>0.99999999999999978</v>
      </c>
      <c r="Y35" s="5">
        <f t="shared" si="16"/>
        <v>1</v>
      </c>
      <c r="Z35" s="5">
        <f t="shared" si="16"/>
        <v>0.99999999999999989</v>
      </c>
      <c r="AA35" s="5">
        <f t="shared" si="16"/>
        <v>1</v>
      </c>
      <c r="AB35" s="5">
        <f t="shared" si="16"/>
        <v>1</v>
      </c>
      <c r="AC35" s="5">
        <f t="shared" si="16"/>
        <v>1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47F7-0D27-4EB9-A79B-F50BD9186436}">
  <dimension ref="A1:M13"/>
  <sheetViews>
    <sheetView workbookViewId="0">
      <selection activeCell="A3" sqref="A3"/>
    </sheetView>
  </sheetViews>
  <sheetFormatPr defaultRowHeight="15" x14ac:dyDescent="0.25"/>
  <sheetData>
    <row r="1" spans="1:13" x14ac:dyDescent="0.25">
      <c r="A1">
        <v>1</v>
      </c>
      <c r="B1">
        <v>-0.44790000000000002</v>
      </c>
      <c r="C1">
        <v>7.5300000000000006E-2</v>
      </c>
      <c r="D1">
        <v>0.24690000000000001</v>
      </c>
      <c r="E1">
        <v>0.52080000000000004</v>
      </c>
      <c r="F1">
        <v>0.4612</v>
      </c>
      <c r="G1">
        <v>-0.33029999999999998</v>
      </c>
      <c r="H1">
        <v>4.9200000000000001E-2</v>
      </c>
      <c r="I1">
        <v>-0.29930000000000001</v>
      </c>
      <c r="J1">
        <v>-0.39550000000000002</v>
      </c>
      <c r="K1">
        <v>-0.49359999999999998</v>
      </c>
      <c r="L1">
        <v>0.55700000000000005</v>
      </c>
      <c r="M1">
        <v>-0.33360000000000001</v>
      </c>
    </row>
    <row r="2" spans="1:13" x14ac:dyDescent="0.25">
      <c r="A2">
        <v>-0.44790000000000002</v>
      </c>
      <c r="B2">
        <v>1</v>
      </c>
      <c r="C2">
        <v>0.15840000000000001</v>
      </c>
      <c r="D2">
        <v>-0.14960000000000001</v>
      </c>
      <c r="E2">
        <v>-0.31209999999999999</v>
      </c>
      <c r="F2">
        <v>-0.19989999999999999</v>
      </c>
      <c r="G2">
        <v>-6.5600000000000006E-2</v>
      </c>
      <c r="H2">
        <v>5.8099999999999999E-2</v>
      </c>
      <c r="I2">
        <v>9.2999999999999999E-2</v>
      </c>
      <c r="J2">
        <v>0.33250000000000002</v>
      </c>
      <c r="K2">
        <v>0.18640000000000001</v>
      </c>
      <c r="L2">
        <v>-0.25290000000000001</v>
      </c>
      <c r="M2">
        <v>-8.4000000000000005E-2</v>
      </c>
    </row>
    <row r="3" spans="1:13" x14ac:dyDescent="0.25">
      <c r="A3">
        <v>7.5300000000000006E-2</v>
      </c>
      <c r="B3">
        <v>0.15840000000000001</v>
      </c>
      <c r="C3">
        <v>1</v>
      </c>
      <c r="D3">
        <v>-0.29099999999999998</v>
      </c>
      <c r="E3">
        <v>2.5000000000000001E-3</v>
      </c>
      <c r="F3">
        <v>0.1641</v>
      </c>
      <c r="G3">
        <v>0.14269999999999999</v>
      </c>
      <c r="H3">
        <v>0.16589999999999999</v>
      </c>
      <c r="I3">
        <v>-0.1047</v>
      </c>
      <c r="J3">
        <v>8.6099999999999996E-2</v>
      </c>
      <c r="K3">
        <v>-0.15110000000000001</v>
      </c>
      <c r="L3">
        <v>-5.0700000000000002E-2</v>
      </c>
      <c r="M3">
        <v>6.3700000000000007E-2</v>
      </c>
    </row>
    <row r="4" spans="1:13" x14ac:dyDescent="0.25">
      <c r="A4">
        <v>0.24690000000000001</v>
      </c>
      <c r="B4">
        <v>-0.14960000000000001</v>
      </c>
      <c r="C4">
        <v>-0.29099999999999998</v>
      </c>
      <c r="D4">
        <v>1</v>
      </c>
      <c r="E4">
        <v>0.18840000000000001</v>
      </c>
      <c r="F4">
        <v>0.25719999999999998</v>
      </c>
      <c r="G4">
        <v>-3.6600000000000001E-2</v>
      </c>
      <c r="H4">
        <v>-1.4800000000000001E-2</v>
      </c>
      <c r="I4">
        <v>-1.9400000000000001E-2</v>
      </c>
      <c r="J4">
        <v>-1.6400000000000001E-2</v>
      </c>
      <c r="K4">
        <v>-0.25159999999999999</v>
      </c>
      <c r="L4">
        <v>0.2142</v>
      </c>
      <c r="M4">
        <v>-5.67E-2</v>
      </c>
    </row>
    <row r="5" spans="1:13" x14ac:dyDescent="0.25">
      <c r="A5">
        <v>0.52080000000000004</v>
      </c>
      <c r="B5">
        <v>-0.31209999999999999</v>
      </c>
      <c r="C5">
        <v>2.5000000000000001E-3</v>
      </c>
      <c r="D5">
        <v>0.18840000000000001</v>
      </c>
      <c r="E5">
        <v>1</v>
      </c>
      <c r="F5">
        <v>0.28120000000000001</v>
      </c>
      <c r="G5">
        <v>-0.23730000000000001</v>
      </c>
      <c r="H5">
        <v>-3.7400000000000003E-2</v>
      </c>
      <c r="I5">
        <v>0.12479999999999999</v>
      </c>
      <c r="J5">
        <v>3.2099999999999997E-2</v>
      </c>
      <c r="K5">
        <v>-0.2964</v>
      </c>
      <c r="L5">
        <v>0.95669999999999999</v>
      </c>
      <c r="M5">
        <v>-0.21379999999999999</v>
      </c>
    </row>
    <row r="6" spans="1:13" x14ac:dyDescent="0.25">
      <c r="A6">
        <v>0.4612</v>
      </c>
      <c r="B6">
        <v>-0.19989999999999999</v>
      </c>
      <c r="C6">
        <v>0.1641</v>
      </c>
      <c r="D6">
        <v>0.25719999999999998</v>
      </c>
      <c r="E6">
        <v>0.28120000000000001</v>
      </c>
      <c r="F6">
        <v>1</v>
      </c>
      <c r="G6">
        <v>-0.44090000000000001</v>
      </c>
      <c r="H6">
        <v>0.1138</v>
      </c>
      <c r="I6">
        <v>-0.38569999999999999</v>
      </c>
      <c r="J6">
        <v>0.29089999999999999</v>
      </c>
      <c r="K6">
        <v>-0.995</v>
      </c>
      <c r="L6">
        <v>0.30990000000000001</v>
      </c>
      <c r="M6">
        <v>-0.54059999999999997</v>
      </c>
    </row>
    <row r="7" spans="1:13" x14ac:dyDescent="0.25">
      <c r="A7">
        <v>-0.33029999999999998</v>
      </c>
      <c r="B7">
        <v>-6.5600000000000006E-2</v>
      </c>
      <c r="C7">
        <v>0.14269999999999999</v>
      </c>
      <c r="D7">
        <v>-3.6600000000000001E-2</v>
      </c>
      <c r="E7">
        <v>-0.23730000000000001</v>
      </c>
      <c r="F7">
        <v>-0.44090000000000001</v>
      </c>
      <c r="G7">
        <v>1</v>
      </c>
      <c r="H7">
        <v>2.8899999999999999E-2</v>
      </c>
      <c r="I7">
        <v>0.15029999999999999</v>
      </c>
      <c r="J7">
        <v>-0.14660000000000001</v>
      </c>
      <c r="K7">
        <v>0.45300000000000001</v>
      </c>
      <c r="L7">
        <v>-0.25740000000000002</v>
      </c>
      <c r="M7">
        <v>0.95479999999999998</v>
      </c>
    </row>
    <row r="8" spans="1:13" x14ac:dyDescent="0.25">
      <c r="A8">
        <v>4.9200000000000001E-2</v>
      </c>
      <c r="B8">
        <v>5.8099999999999999E-2</v>
      </c>
      <c r="C8">
        <v>0.16589999999999999</v>
      </c>
      <c r="D8">
        <v>-1.4800000000000001E-2</v>
      </c>
      <c r="E8">
        <v>-3.7400000000000003E-2</v>
      </c>
      <c r="F8">
        <v>0.1138</v>
      </c>
      <c r="G8">
        <v>2.8899999999999999E-2</v>
      </c>
      <c r="H8">
        <v>1</v>
      </c>
      <c r="I8">
        <v>-0.13039999999999999</v>
      </c>
      <c r="J8">
        <v>-0.13250000000000001</v>
      </c>
      <c r="K8">
        <v>-0.13789999999999999</v>
      </c>
      <c r="L8">
        <v>-9.2100000000000001E-2</v>
      </c>
      <c r="M8">
        <v>-2.9100000000000001E-2</v>
      </c>
    </row>
    <row r="9" spans="1:13" x14ac:dyDescent="0.25">
      <c r="A9">
        <v>-0.29930000000000001</v>
      </c>
      <c r="B9">
        <v>9.2999999999999999E-2</v>
      </c>
      <c r="C9">
        <v>-0.1047</v>
      </c>
      <c r="D9">
        <v>-1.9400000000000001E-2</v>
      </c>
      <c r="E9">
        <v>0.12479999999999999</v>
      </c>
      <c r="F9">
        <v>-0.38569999999999999</v>
      </c>
      <c r="G9">
        <v>0.15029999999999999</v>
      </c>
      <c r="H9">
        <v>-0.13039999999999999</v>
      </c>
      <c r="I9">
        <v>1</v>
      </c>
      <c r="J9">
        <v>-5.5E-2</v>
      </c>
      <c r="K9">
        <v>0.38059999999999999</v>
      </c>
      <c r="L9">
        <v>0.16209999999999999</v>
      </c>
      <c r="M9">
        <v>0.28360000000000002</v>
      </c>
    </row>
    <row r="10" spans="1:13" x14ac:dyDescent="0.25">
      <c r="A10">
        <v>-0.39550000000000002</v>
      </c>
      <c r="B10">
        <v>0.33250000000000002</v>
      </c>
      <c r="C10">
        <v>8.6099999999999996E-2</v>
      </c>
      <c r="D10">
        <v>-1.6400000000000001E-2</v>
      </c>
      <c r="E10">
        <v>3.2099999999999997E-2</v>
      </c>
      <c r="F10">
        <v>0.29089999999999999</v>
      </c>
      <c r="G10">
        <v>-0.14660000000000001</v>
      </c>
      <c r="H10">
        <v>-0.13250000000000001</v>
      </c>
      <c r="I10">
        <v>-5.5E-2</v>
      </c>
      <c r="J10">
        <v>1</v>
      </c>
      <c r="K10">
        <v>-0.2621</v>
      </c>
      <c r="L10">
        <v>6.7299999999999999E-2</v>
      </c>
      <c r="M10">
        <v>-0.25879999999999997</v>
      </c>
    </row>
    <row r="11" spans="1:13" x14ac:dyDescent="0.25">
      <c r="A11">
        <v>-0.49359999999999998</v>
      </c>
      <c r="B11">
        <v>0.18640000000000001</v>
      </c>
      <c r="C11">
        <v>-0.15110000000000001</v>
      </c>
      <c r="D11">
        <v>-0.25159999999999999</v>
      </c>
      <c r="E11">
        <v>-0.2964</v>
      </c>
      <c r="F11">
        <v>-0.995</v>
      </c>
      <c r="G11">
        <v>0.45300000000000001</v>
      </c>
      <c r="H11">
        <v>-0.13789999999999999</v>
      </c>
      <c r="I11">
        <v>0.38059999999999999</v>
      </c>
      <c r="J11">
        <v>-0.2621</v>
      </c>
      <c r="K11">
        <v>1</v>
      </c>
      <c r="L11">
        <v>-0.32740000000000002</v>
      </c>
      <c r="M11">
        <v>0.55100000000000005</v>
      </c>
    </row>
    <row r="12" spans="1:13" x14ac:dyDescent="0.25">
      <c r="A12">
        <v>0.55700000000000005</v>
      </c>
      <c r="B12">
        <v>-0.25290000000000001</v>
      </c>
      <c r="C12">
        <v>-5.0700000000000002E-2</v>
      </c>
      <c r="D12">
        <v>0.2142</v>
      </c>
      <c r="E12">
        <v>0.95669999999999999</v>
      </c>
      <c r="F12">
        <v>0.30990000000000001</v>
      </c>
      <c r="G12">
        <v>-0.25740000000000002</v>
      </c>
      <c r="H12">
        <v>-9.2100000000000001E-2</v>
      </c>
      <c r="I12">
        <v>0.16209999999999999</v>
      </c>
      <c r="J12">
        <v>6.7299999999999999E-2</v>
      </c>
      <c r="K12">
        <v>-0.32740000000000002</v>
      </c>
      <c r="L12">
        <v>1</v>
      </c>
      <c r="M12">
        <v>-0.23749999999999999</v>
      </c>
    </row>
    <row r="13" spans="1:13" x14ac:dyDescent="0.25">
      <c r="A13">
        <v>-0.33360000000000001</v>
      </c>
      <c r="B13">
        <v>-8.4000000000000005E-2</v>
      </c>
      <c r="C13">
        <v>6.3700000000000007E-2</v>
      </c>
      <c r="D13">
        <v>-5.67E-2</v>
      </c>
      <c r="E13">
        <v>-0.21379999999999999</v>
      </c>
      <c r="F13">
        <v>-0.54059999999999997</v>
      </c>
      <c r="G13">
        <v>0.95479999999999998</v>
      </c>
      <c r="H13">
        <v>-2.9100000000000001E-2</v>
      </c>
      <c r="I13">
        <v>0.28360000000000002</v>
      </c>
      <c r="J13">
        <v>-0.25879999999999997</v>
      </c>
      <c r="K13">
        <v>0.55100000000000005</v>
      </c>
      <c r="L13">
        <v>-0.23749999999999999</v>
      </c>
      <c r="M13">
        <v>1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93FB-841F-4BC9-AC44-D2199208CAF3}">
  <dimension ref="A1:S27"/>
  <sheetViews>
    <sheetView workbookViewId="0">
      <selection activeCell="X14" sqref="X14"/>
    </sheetView>
  </sheetViews>
  <sheetFormatPr defaultRowHeight="15" x14ac:dyDescent="0.25"/>
  <cols>
    <col min="16" max="16" width="12" bestFit="1" customWidth="1"/>
  </cols>
  <sheetData>
    <row r="1" spans="1:19" x14ac:dyDescent="0.25">
      <c r="A1" s="36">
        <v>4.06301570844031</v>
      </c>
      <c r="B1" s="36">
        <v>0</v>
      </c>
      <c r="C1" s="36">
        <v>0</v>
      </c>
      <c r="D1" s="36">
        <v>0</v>
      </c>
      <c r="E1" s="36">
        <v>0</v>
      </c>
      <c r="F1" s="37">
        <v>0</v>
      </c>
      <c r="G1" s="37">
        <v>0</v>
      </c>
      <c r="H1" s="37">
        <v>0</v>
      </c>
      <c r="I1" s="37">
        <v>0</v>
      </c>
      <c r="J1" s="37">
        <v>0</v>
      </c>
      <c r="K1" s="37">
        <v>0</v>
      </c>
      <c r="L1" s="37">
        <v>0</v>
      </c>
      <c r="M1" s="37">
        <v>0</v>
      </c>
    </row>
    <row r="2" spans="1:19" x14ac:dyDescent="0.25">
      <c r="A2" s="36">
        <v>0</v>
      </c>
      <c r="B2" s="36">
        <v>2.1702855043291098</v>
      </c>
      <c r="C2" s="36">
        <v>0</v>
      </c>
      <c r="D2" s="36">
        <v>0</v>
      </c>
      <c r="E2" s="36">
        <v>0</v>
      </c>
      <c r="F2" s="37">
        <v>0</v>
      </c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</row>
    <row r="3" spans="1:19" x14ac:dyDescent="0.25">
      <c r="A3" s="36">
        <v>0</v>
      </c>
      <c r="B3" s="36">
        <v>0</v>
      </c>
      <c r="C3" s="36">
        <v>1.6008862070974099</v>
      </c>
      <c r="D3" s="36">
        <v>0</v>
      </c>
      <c r="E3" s="36">
        <v>0</v>
      </c>
      <c r="F3" s="37">
        <v>0</v>
      </c>
      <c r="G3" s="37">
        <v>0</v>
      </c>
      <c r="H3" s="37">
        <v>0</v>
      </c>
      <c r="I3" s="37">
        <v>0</v>
      </c>
      <c r="J3" s="37">
        <v>0</v>
      </c>
      <c r="K3" s="37">
        <v>0</v>
      </c>
      <c r="L3" s="37">
        <v>0</v>
      </c>
      <c r="M3" s="37">
        <v>0</v>
      </c>
      <c r="O3" t="s">
        <v>0</v>
      </c>
      <c r="P3" t="s">
        <v>1</v>
      </c>
      <c r="R3" t="s">
        <v>2</v>
      </c>
    </row>
    <row r="4" spans="1:19" x14ac:dyDescent="0.25">
      <c r="A4" s="36">
        <v>0</v>
      </c>
      <c r="B4" s="36">
        <v>0</v>
      </c>
      <c r="C4" s="36">
        <v>0</v>
      </c>
      <c r="D4" s="36">
        <v>1.3174486883505201</v>
      </c>
      <c r="E4" s="36">
        <v>0</v>
      </c>
      <c r="F4" s="37">
        <v>0</v>
      </c>
      <c r="G4" s="37">
        <v>0</v>
      </c>
      <c r="H4" s="37">
        <v>0</v>
      </c>
      <c r="I4" s="37">
        <v>0</v>
      </c>
      <c r="J4" s="37">
        <v>0</v>
      </c>
      <c r="K4" s="37">
        <v>0</v>
      </c>
      <c r="L4" s="37">
        <v>0</v>
      </c>
      <c r="M4" s="37">
        <v>0</v>
      </c>
      <c r="O4" s="1">
        <v>1</v>
      </c>
      <c r="P4">
        <v>4.0630141699999998</v>
      </c>
      <c r="Q4">
        <f>P4/$M$16</f>
        <v>0.31253955150985208</v>
      </c>
      <c r="R4">
        <v>0.8</v>
      </c>
    </row>
    <row r="5" spans="1:19" x14ac:dyDescent="0.25">
      <c r="A5" s="36">
        <v>0</v>
      </c>
      <c r="B5" s="36">
        <v>0</v>
      </c>
      <c r="C5" s="36">
        <v>0</v>
      </c>
      <c r="D5" s="36">
        <v>0</v>
      </c>
      <c r="E5" s="36">
        <v>1.1342010930034301</v>
      </c>
      <c r="F5" s="37">
        <v>0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O5" s="1">
        <v>2</v>
      </c>
      <c r="P5">
        <v>6.2333710699999996</v>
      </c>
      <c r="Q5">
        <f t="shared" ref="Q5:Q16" si="0">P5/$M$16</f>
        <v>0.47949008226380041</v>
      </c>
      <c r="R5">
        <v>0.8</v>
      </c>
    </row>
    <row r="6" spans="1:19" x14ac:dyDescent="0.25">
      <c r="A6" s="36">
        <v>0</v>
      </c>
      <c r="B6" s="36">
        <v>0</v>
      </c>
      <c r="C6" s="36">
        <v>0</v>
      </c>
      <c r="D6" s="36">
        <v>0</v>
      </c>
      <c r="E6" s="36">
        <v>0</v>
      </c>
      <c r="F6" s="37">
        <v>0.93359728186612301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O6" s="1">
        <v>3</v>
      </c>
      <c r="P6">
        <v>7.8342321099999994</v>
      </c>
      <c r="Q6">
        <f t="shared" si="0"/>
        <v>0.60263323917560496</v>
      </c>
      <c r="R6">
        <v>0.8</v>
      </c>
    </row>
    <row r="7" spans="1:19" x14ac:dyDescent="0.25">
      <c r="A7" s="36">
        <v>0</v>
      </c>
      <c r="B7" s="36">
        <v>0</v>
      </c>
      <c r="C7" s="36">
        <v>0</v>
      </c>
      <c r="D7" s="36">
        <v>0</v>
      </c>
      <c r="E7" s="36">
        <v>0</v>
      </c>
      <c r="F7" s="37">
        <v>0</v>
      </c>
      <c r="G7" s="37">
        <v>0.643530887107711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O7" s="1">
        <v>4</v>
      </c>
      <c r="P7">
        <v>9.1517056500000002</v>
      </c>
      <c r="Q7">
        <f t="shared" si="0"/>
        <v>0.70397735762786651</v>
      </c>
      <c r="R7">
        <v>0.8</v>
      </c>
    </row>
    <row r="8" spans="1:19" x14ac:dyDescent="0.25">
      <c r="A8" s="36">
        <v>0</v>
      </c>
      <c r="B8" s="36">
        <v>0</v>
      </c>
      <c r="C8" s="36">
        <v>0</v>
      </c>
      <c r="D8" s="36">
        <v>0</v>
      </c>
      <c r="E8" s="36">
        <v>0</v>
      </c>
      <c r="F8" s="37">
        <v>0</v>
      </c>
      <c r="G8" s="37">
        <v>0</v>
      </c>
      <c r="H8" s="37">
        <v>0.58867921437633997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O8" s="1">
        <v>5</v>
      </c>
      <c r="P8">
        <v>10.2858763</v>
      </c>
      <c r="Q8">
        <f t="shared" si="0"/>
        <v>0.79122125377372654</v>
      </c>
      <c r="R8">
        <v>0.8</v>
      </c>
      <c r="S8" s="23" t="s">
        <v>52</v>
      </c>
    </row>
    <row r="9" spans="1:19" x14ac:dyDescent="0.25">
      <c r="A9" s="36">
        <v>0</v>
      </c>
      <c r="B9" s="36">
        <v>0</v>
      </c>
      <c r="C9" s="36">
        <v>0</v>
      </c>
      <c r="D9" s="36">
        <v>0</v>
      </c>
      <c r="E9" s="36">
        <v>0</v>
      </c>
      <c r="F9" s="37">
        <v>0</v>
      </c>
      <c r="G9" s="37">
        <v>0</v>
      </c>
      <c r="H9" s="37">
        <v>0</v>
      </c>
      <c r="I9" s="37">
        <v>0.34524758134744299</v>
      </c>
      <c r="J9" s="37">
        <v>0</v>
      </c>
      <c r="K9" s="37">
        <v>0</v>
      </c>
      <c r="L9" s="37">
        <v>0</v>
      </c>
      <c r="M9" s="37">
        <v>0</v>
      </c>
      <c r="O9">
        <v>6</v>
      </c>
      <c r="P9">
        <v>11.219411725000001</v>
      </c>
      <c r="Q9">
        <f t="shared" si="0"/>
        <v>0.86303167107484546</v>
      </c>
      <c r="R9">
        <v>0.8</v>
      </c>
    </row>
    <row r="10" spans="1:19" x14ac:dyDescent="0.25">
      <c r="A10" s="36">
        <v>0</v>
      </c>
      <c r="B10" s="36">
        <v>0</v>
      </c>
      <c r="C10" s="36">
        <v>0</v>
      </c>
      <c r="D10" s="36">
        <v>0</v>
      </c>
      <c r="E10" s="36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0.14938043525203901</v>
      </c>
      <c r="K10" s="37">
        <v>0</v>
      </c>
      <c r="L10" s="37">
        <v>0</v>
      </c>
      <c r="M10" s="37">
        <v>0</v>
      </c>
      <c r="O10">
        <v>7</v>
      </c>
      <c r="P10">
        <v>11.86300162</v>
      </c>
      <c r="Q10">
        <f t="shared" si="0"/>
        <v>0.91253858607031357</v>
      </c>
      <c r="R10">
        <v>0.8</v>
      </c>
    </row>
    <row r="11" spans="1:19" x14ac:dyDescent="0.25">
      <c r="A11" s="36">
        <v>0</v>
      </c>
      <c r="B11" s="36">
        <v>0</v>
      </c>
      <c r="C11" s="36">
        <v>0</v>
      </c>
      <c r="D11" s="36">
        <v>0</v>
      </c>
      <c r="E11" s="36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2.8428808283652799E-2</v>
      </c>
      <c r="L11" s="37">
        <v>0</v>
      </c>
      <c r="M11" s="37">
        <v>0</v>
      </c>
      <c r="O11">
        <v>8</v>
      </c>
      <c r="P11">
        <v>12.451690024000001</v>
      </c>
      <c r="Q11">
        <f t="shared" si="0"/>
        <v>0.95782230945078384</v>
      </c>
      <c r="R11">
        <v>0.8</v>
      </c>
    </row>
    <row r="12" spans="1:19" x14ac:dyDescent="0.25">
      <c r="A12" s="36">
        <v>0</v>
      </c>
      <c r="B12" s="36">
        <v>0</v>
      </c>
      <c r="C12" s="36">
        <v>0</v>
      </c>
      <c r="D12" s="36">
        <v>0</v>
      </c>
      <c r="E12" s="36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2.2529847688458102E-2</v>
      </c>
      <c r="M12" s="37">
        <v>0</v>
      </c>
      <c r="O12">
        <v>9</v>
      </c>
      <c r="P12">
        <v>12.796930237000002</v>
      </c>
      <c r="Q12">
        <f t="shared" si="0"/>
        <v>0.98437924890989137</v>
      </c>
      <c r="R12">
        <v>0.8</v>
      </c>
    </row>
    <row r="13" spans="1:19" x14ac:dyDescent="0.25">
      <c r="A13" s="36">
        <v>0</v>
      </c>
      <c r="B13" s="36">
        <v>0</v>
      </c>
      <c r="C13" s="36">
        <v>0</v>
      </c>
      <c r="D13" s="36">
        <v>0</v>
      </c>
      <c r="E13" s="36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2.7687428574548699E-3</v>
      </c>
      <c r="O13">
        <v>10</v>
      </c>
      <c r="P13">
        <v>12.946358734000002</v>
      </c>
      <c r="Q13">
        <f t="shared" si="0"/>
        <v>0.99587374867806999</v>
      </c>
      <c r="R13">
        <v>0.8</v>
      </c>
    </row>
    <row r="14" spans="1:19" x14ac:dyDescent="0.25">
      <c r="O14">
        <v>11</v>
      </c>
      <c r="P14">
        <v>12.949107257290002</v>
      </c>
      <c r="Q14">
        <f t="shared" si="0"/>
        <v>0.99608517354651216</v>
      </c>
      <c r="R14">
        <v>0.8</v>
      </c>
    </row>
    <row r="15" spans="1:19" x14ac:dyDescent="0.25">
      <c r="A15" s="34">
        <v>4.0630141699999998</v>
      </c>
      <c r="B15" s="34">
        <v>2.1703568999999998</v>
      </c>
      <c r="C15" s="34">
        <v>1.6008610400000001</v>
      </c>
      <c r="D15" s="34">
        <v>1.3174735399999999</v>
      </c>
      <c r="E15" s="34">
        <v>1.1341706499999999</v>
      </c>
      <c r="F15" s="34">
        <v>0.93353542499999997</v>
      </c>
      <c r="G15" s="34">
        <v>0.64358989499999997</v>
      </c>
      <c r="H15" s="34">
        <v>0.588688404</v>
      </c>
      <c r="I15" s="34">
        <v>0.34524021300000002</v>
      </c>
      <c r="J15" s="34">
        <v>0.14942849699999999</v>
      </c>
      <c r="K15" s="34">
        <v>2.7485232899999998E-3</v>
      </c>
      <c r="L15" s="34">
        <v>2.8325956499999999E-2</v>
      </c>
      <c r="M15" s="34">
        <v>2.25667874E-2</v>
      </c>
      <c r="N15" t="str">
        <f>N23</f>
        <v>python</v>
      </c>
      <c r="O15">
        <v>12</v>
      </c>
      <c r="P15">
        <v>12.977433213790002</v>
      </c>
      <c r="Q15">
        <f t="shared" si="0"/>
        <v>0.99826409327708188</v>
      </c>
      <c r="R15">
        <v>0.8</v>
      </c>
    </row>
    <row r="16" spans="1:19" x14ac:dyDescent="0.25">
      <c r="A16" s="35">
        <f>A15</f>
        <v>4.0630141699999998</v>
      </c>
      <c r="B16" s="35">
        <f>A16+B15</f>
        <v>6.2333710699999996</v>
      </c>
      <c r="C16" s="35">
        <f t="shared" ref="C16" si="1">B16+C15</f>
        <v>7.8342321099999994</v>
      </c>
      <c r="D16" s="35">
        <f t="shared" ref="D16" si="2">C16+D15</f>
        <v>9.1517056500000002</v>
      </c>
      <c r="E16" s="35">
        <f t="shared" ref="E16" si="3">D16+E15</f>
        <v>10.2858763</v>
      </c>
      <c r="F16" s="35">
        <f t="shared" ref="F16" si="4">E16+F15</f>
        <v>11.219411725000001</v>
      </c>
      <c r="G16" s="35">
        <f t="shared" ref="G16" si="5">F16+G15</f>
        <v>11.86300162</v>
      </c>
      <c r="H16" s="35">
        <f t="shared" ref="H16" si="6">G16+H15</f>
        <v>12.451690024000001</v>
      </c>
      <c r="I16" s="35">
        <f t="shared" ref="I16" si="7">H16+I15</f>
        <v>12.796930237000002</v>
      </c>
      <c r="J16" s="35">
        <f t="shared" ref="J16" si="8">I16+J15</f>
        <v>12.946358734000002</v>
      </c>
      <c r="K16" s="35">
        <f t="shared" ref="K16" si="9">J16+K15</f>
        <v>12.949107257290002</v>
      </c>
      <c r="L16" s="35">
        <f t="shared" ref="L16" si="10">K16+L15</f>
        <v>12.977433213790002</v>
      </c>
      <c r="M16" s="35">
        <f t="shared" ref="M16" si="11">L16+M15</f>
        <v>13.000000001190003</v>
      </c>
      <c r="O16">
        <v>13</v>
      </c>
      <c r="P16">
        <v>13.000000001190003</v>
      </c>
      <c r="Q16">
        <f t="shared" si="0"/>
        <v>1</v>
      </c>
      <c r="R16">
        <v>0.8</v>
      </c>
    </row>
    <row r="17" spans="1:14" x14ac:dyDescent="0.25">
      <c r="A17">
        <v>4.0630141699999998</v>
      </c>
      <c r="B17">
        <v>6.2333710699999996</v>
      </c>
      <c r="C17">
        <v>7.8342321099999994</v>
      </c>
      <c r="D17">
        <v>9.1517056500000002</v>
      </c>
      <c r="E17">
        <v>10.2858763</v>
      </c>
      <c r="F17">
        <v>11.219411725000001</v>
      </c>
      <c r="G17">
        <v>11.86300162</v>
      </c>
      <c r="H17">
        <v>12.451690024000001</v>
      </c>
      <c r="I17">
        <v>12.796930237000002</v>
      </c>
      <c r="J17">
        <v>12.946358734000002</v>
      </c>
      <c r="K17">
        <v>12.949107257290002</v>
      </c>
      <c r="L17">
        <v>12.977433213790002</v>
      </c>
      <c r="M17">
        <v>13.000000001190003</v>
      </c>
    </row>
    <row r="23" spans="1:14" x14ac:dyDescent="0.25">
      <c r="A23" s="34">
        <v>4.0630141699999998</v>
      </c>
      <c r="B23" s="34">
        <v>2.1703568999999998</v>
      </c>
      <c r="C23" s="34">
        <v>1.6008610400000001</v>
      </c>
      <c r="D23" s="34">
        <v>1.3174735399999999</v>
      </c>
      <c r="E23" s="34">
        <v>1.1341706499999999</v>
      </c>
      <c r="F23" s="34">
        <v>0.93353542499999997</v>
      </c>
      <c r="G23" s="34">
        <v>0.64358989499999997</v>
      </c>
      <c r="H23" s="34">
        <v>0.588688404</v>
      </c>
      <c r="I23" s="34">
        <v>0.34524021300000002</v>
      </c>
      <c r="J23" s="34">
        <v>0.14942849699999999</v>
      </c>
      <c r="K23" s="34">
        <v>2.7485232899999998E-3</v>
      </c>
      <c r="L23" s="34">
        <v>2.8325956499999999E-2</v>
      </c>
      <c r="M23" s="34">
        <v>2.25667874E-2</v>
      </c>
      <c r="N23" t="s">
        <v>64</v>
      </c>
    </row>
    <row r="24" spans="1:14" x14ac:dyDescent="0.25">
      <c r="A24" s="35">
        <f>A23</f>
        <v>4.0630141699999998</v>
      </c>
      <c r="B24" s="35">
        <f>A24+B23</f>
        <v>6.2333710699999996</v>
      </c>
      <c r="C24" s="35">
        <f t="shared" ref="C24:M24" si="12">B24+C23</f>
        <v>7.8342321099999994</v>
      </c>
      <c r="D24" s="35">
        <f t="shared" si="12"/>
        <v>9.1517056500000002</v>
      </c>
      <c r="E24" s="35">
        <f t="shared" si="12"/>
        <v>10.2858763</v>
      </c>
      <c r="F24" s="35">
        <f t="shared" si="12"/>
        <v>11.219411725000001</v>
      </c>
      <c r="G24" s="35">
        <f t="shared" si="12"/>
        <v>11.86300162</v>
      </c>
      <c r="H24" s="35">
        <f t="shared" si="12"/>
        <v>12.451690024000001</v>
      </c>
      <c r="I24" s="35">
        <f t="shared" si="12"/>
        <v>12.796930237000002</v>
      </c>
      <c r="J24" s="35">
        <f t="shared" si="12"/>
        <v>12.946358734000002</v>
      </c>
      <c r="K24" s="35">
        <f t="shared" si="12"/>
        <v>12.949107257290002</v>
      </c>
      <c r="L24" s="35">
        <f t="shared" si="12"/>
        <v>12.977433213790002</v>
      </c>
      <c r="M24" s="35">
        <f t="shared" si="12"/>
        <v>13.000000001190003</v>
      </c>
    </row>
    <row r="26" spans="1:14" x14ac:dyDescent="0.25">
      <c r="A26" s="34">
        <v>4.06301570844031</v>
      </c>
      <c r="B26" s="34">
        <v>2.1702855043291098</v>
      </c>
      <c r="C26" s="34">
        <v>1.6008862070974099</v>
      </c>
      <c r="D26" s="34">
        <v>1.3174486883505201</v>
      </c>
      <c r="E26" s="34">
        <v>1.1342010930034301</v>
      </c>
      <c r="F26" s="34">
        <v>0.93359728186612301</v>
      </c>
      <c r="G26" s="34">
        <v>0.643530887107711</v>
      </c>
      <c r="H26" s="34">
        <v>0.58867921437633997</v>
      </c>
      <c r="I26" s="34">
        <v>0.34524758134744299</v>
      </c>
      <c r="J26" s="34">
        <v>0.14938043525203901</v>
      </c>
      <c r="K26" s="34">
        <v>2.8428808283652799E-2</v>
      </c>
      <c r="L26" s="34">
        <v>2.2529847688458102E-2</v>
      </c>
      <c r="M26" s="34">
        <v>2.7687428574548699E-3</v>
      </c>
      <c r="N26" t="s">
        <v>65</v>
      </c>
    </row>
    <row r="27" spans="1:14" x14ac:dyDescent="0.25">
      <c r="A27" s="35">
        <f>A26</f>
        <v>4.06301570844031</v>
      </c>
      <c r="B27" s="35">
        <f>A27+B26</f>
        <v>6.2333012127694198</v>
      </c>
      <c r="C27" s="35">
        <f t="shared" ref="C27:M27" si="13">B27+C26</f>
        <v>7.8341874198668293</v>
      </c>
      <c r="D27" s="35">
        <f t="shared" si="13"/>
        <v>9.1516361082173496</v>
      </c>
      <c r="E27" s="35">
        <f t="shared" si="13"/>
        <v>10.285837201220779</v>
      </c>
      <c r="F27" s="35">
        <f t="shared" si="13"/>
        <v>11.219434483086902</v>
      </c>
      <c r="G27" s="35">
        <f t="shared" si="13"/>
        <v>11.862965370194612</v>
      </c>
      <c r="H27" s="35">
        <f t="shared" si="13"/>
        <v>12.451644584570952</v>
      </c>
      <c r="I27" s="35">
        <f t="shared" si="13"/>
        <v>12.796892165918395</v>
      </c>
      <c r="J27" s="35">
        <f t="shared" si="13"/>
        <v>12.946272601170435</v>
      </c>
      <c r="K27" s="35">
        <f t="shared" si="13"/>
        <v>12.974701409454088</v>
      </c>
      <c r="L27" s="35">
        <f t="shared" si="13"/>
        <v>12.997231257142547</v>
      </c>
      <c r="M27" s="35">
        <f t="shared" si="13"/>
        <v>13.000000000000002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D4002-1299-4BC7-B46E-585F5CB77F36}">
  <dimension ref="A1:AD32"/>
  <sheetViews>
    <sheetView workbookViewId="0">
      <selection activeCell="R1" sqref="R1:AD5"/>
    </sheetView>
  </sheetViews>
  <sheetFormatPr defaultRowHeight="15" x14ac:dyDescent="0.25"/>
  <sheetData>
    <row r="1" spans="1:30" x14ac:dyDescent="0.25">
      <c r="A1" s="1">
        <v>-0.35919553999999998</v>
      </c>
      <c r="B1" s="1">
        <v>0.26977001</v>
      </c>
      <c r="C1" s="1">
        <v>0.26668322999999999</v>
      </c>
      <c r="D1" s="1">
        <v>-4.495466E-2</v>
      </c>
      <c r="E1" s="1">
        <v>-0.21133916</v>
      </c>
      <c r="F1" s="31">
        <v>7.9176214512215404E-2</v>
      </c>
      <c r="G1" s="31">
        <v>-0.29913698937537803</v>
      </c>
      <c r="H1" s="31">
        <v>6.0969270940135101E-2</v>
      </c>
      <c r="I1" s="31">
        <v>-0.14429725379288</v>
      </c>
      <c r="J1" s="31">
        <v>-0.71612969440655905</v>
      </c>
      <c r="K1" s="31">
        <v>0.17444552672904201</v>
      </c>
      <c r="L1" s="31">
        <v>0.117091767135969</v>
      </c>
      <c r="M1" s="31">
        <v>5.5718923911387601E-2</v>
      </c>
      <c r="N1" t="s">
        <v>63</v>
      </c>
      <c r="R1" s="1">
        <v>-0.35919553999999998</v>
      </c>
      <c r="S1" s="1">
        <v>0.15036911</v>
      </c>
      <c r="T1" s="1">
        <v>-1.0413540000000001E-2</v>
      </c>
      <c r="U1" s="1">
        <v>-0.15749115</v>
      </c>
      <c r="V1" s="1">
        <v>-0.30951113000000002</v>
      </c>
      <c r="W1" s="1">
        <v>-0.41586159</v>
      </c>
      <c r="X1" s="1">
        <v>0.33338369000000001</v>
      </c>
      <c r="Y1" s="1">
        <v>-2.8124679999999999E-2</v>
      </c>
      <c r="Z1" s="1">
        <v>0.16833345</v>
      </c>
      <c r="AA1" s="1">
        <v>-7.0722419999999994E-2</v>
      </c>
      <c r="AB1" s="1">
        <v>0.42189455999999997</v>
      </c>
      <c r="AC1" s="1">
        <v>-0.32009747</v>
      </c>
      <c r="AD1" s="1">
        <v>0.35914742999999999</v>
      </c>
    </row>
    <row r="2" spans="1:30" x14ac:dyDescent="0.25">
      <c r="A2" s="1">
        <v>0.15036911</v>
      </c>
      <c r="B2" s="1">
        <v>-0.39149167000000001</v>
      </c>
      <c r="C2" s="1">
        <v>-0.28535994999999997</v>
      </c>
      <c r="D2" s="1">
        <v>0.16534819000000001</v>
      </c>
      <c r="E2" s="1">
        <v>-8.8419479999999995E-2</v>
      </c>
      <c r="F2" s="31">
        <v>-0.31685005537146599</v>
      </c>
      <c r="G2" s="31">
        <v>-0.53509006729888597</v>
      </c>
      <c r="H2" s="31">
        <v>0.243449676799458</v>
      </c>
      <c r="I2" s="31">
        <v>-0.50227246463699704</v>
      </c>
      <c r="J2" s="31">
        <v>2.4403895811176801E-2</v>
      </c>
      <c r="K2" s="31">
        <v>6.0107462535506702E-2</v>
      </c>
      <c r="L2" s="31">
        <v>6.0131104328737701E-2</v>
      </c>
      <c r="M2" s="31">
        <v>3.8078800607546301E-2</v>
      </c>
      <c r="R2" s="1">
        <v>0.26977001</v>
      </c>
      <c r="S2" s="1">
        <v>-0.39149167000000001</v>
      </c>
      <c r="T2" s="1">
        <v>-0.1665046</v>
      </c>
      <c r="U2" s="1">
        <v>0.17505351</v>
      </c>
      <c r="V2" s="1">
        <v>0.38020706999999998</v>
      </c>
      <c r="W2" s="1">
        <v>-0.19485696</v>
      </c>
      <c r="X2" s="1">
        <v>0.2307843</v>
      </c>
      <c r="Y2" s="1">
        <v>-0.10478899</v>
      </c>
      <c r="Z2" s="1">
        <v>0.26034613000000001</v>
      </c>
      <c r="AA2" s="1">
        <v>-0.37149633999999998</v>
      </c>
      <c r="AB2" s="1">
        <v>0.18537540999999999</v>
      </c>
      <c r="AC2" s="1">
        <v>0.37040388000000002</v>
      </c>
      <c r="AD2" s="1">
        <v>0.30243910000000002</v>
      </c>
    </row>
    <row r="3" spans="1:30" x14ac:dyDescent="0.25">
      <c r="A3" s="1">
        <v>-1.0413540000000001E-2</v>
      </c>
      <c r="B3" s="1">
        <v>-0.1665046</v>
      </c>
      <c r="C3" s="1">
        <v>0.27645335999999998</v>
      </c>
      <c r="D3" s="1">
        <v>0.66447553999999998</v>
      </c>
      <c r="E3" s="1">
        <v>-0.12695454</v>
      </c>
      <c r="F3" s="31">
        <v>0.14129355729850099</v>
      </c>
      <c r="G3" s="31">
        <v>-0.404514191230609</v>
      </c>
      <c r="H3" s="31">
        <v>-0.20007760262131399</v>
      </c>
      <c r="I3" s="31">
        <v>0.44382020601844402</v>
      </c>
      <c r="J3" s="31">
        <v>9.4570454988523997E-2</v>
      </c>
      <c r="K3" s="31">
        <v>-3.9894670183515703E-2</v>
      </c>
      <c r="L3" s="31">
        <v>-7.6982736794822607E-2</v>
      </c>
      <c r="M3" s="31">
        <v>-3.16146348662786E-2</v>
      </c>
      <c r="R3" s="1">
        <v>0.26668322999999999</v>
      </c>
      <c r="S3" s="1">
        <v>-0.28535994999999997</v>
      </c>
      <c r="T3" s="1">
        <v>0.27645335999999998</v>
      </c>
      <c r="U3" s="1">
        <v>-1.605055E-2</v>
      </c>
      <c r="V3" s="1">
        <v>-0.23372086</v>
      </c>
      <c r="W3" s="1">
        <v>0.15262534999999999</v>
      </c>
      <c r="X3" s="1">
        <v>0.26418377999999998</v>
      </c>
      <c r="Y3" s="1">
        <v>0.37555738999999999</v>
      </c>
      <c r="Z3" s="1">
        <v>-0.42922842999999999</v>
      </c>
      <c r="AA3" s="1">
        <v>-0.39103371999999997</v>
      </c>
      <c r="AB3" s="1">
        <v>-0.15613738999999999</v>
      </c>
      <c r="AC3" s="1">
        <v>-0.28094116000000002</v>
      </c>
      <c r="AD3" s="1">
        <v>0.20385797999999999</v>
      </c>
    </row>
    <row r="4" spans="1:30" x14ac:dyDescent="0.25">
      <c r="A4" s="1">
        <v>-0.15749115</v>
      </c>
      <c r="B4" s="1">
        <v>0.17505351</v>
      </c>
      <c r="C4" s="1">
        <v>-1.605055E-2</v>
      </c>
      <c r="D4" s="1">
        <v>-0.31853774000000001</v>
      </c>
      <c r="E4" s="1">
        <v>0.56718469000000005</v>
      </c>
      <c r="F4" s="31">
        <v>-0.38225422855177599</v>
      </c>
      <c r="G4" s="31">
        <v>-0.48159663150264298</v>
      </c>
      <c r="H4" s="31">
        <v>-4.1362623635561096E-3</v>
      </c>
      <c r="I4" s="31">
        <v>0.37032082347192202</v>
      </c>
      <c r="J4" s="31">
        <v>6.7289773294613095E-2</v>
      </c>
      <c r="K4" s="31">
        <v>-6.9106675894751602E-3</v>
      </c>
      <c r="L4" s="31">
        <v>-3.0328744094011598E-2</v>
      </c>
      <c r="M4" s="31">
        <v>-1.9725969520043799E-2</v>
      </c>
      <c r="R4" s="1">
        <v>-4.495466E-2</v>
      </c>
      <c r="S4" s="1">
        <v>0.16534819000000001</v>
      </c>
      <c r="T4" s="1">
        <v>0.66447553999999998</v>
      </c>
      <c r="U4" s="1">
        <v>-0.31853774000000001</v>
      </c>
      <c r="V4" s="1">
        <v>0.30841488</v>
      </c>
      <c r="W4" s="1">
        <v>8.3100140000000003E-2</v>
      </c>
      <c r="X4" s="1">
        <v>0.26657262999999998</v>
      </c>
      <c r="Y4" s="1">
        <v>0.15654720999999999</v>
      </c>
      <c r="Z4" s="1">
        <v>0.16513548</v>
      </c>
      <c r="AA4" s="1">
        <v>0.26850386999999998</v>
      </c>
      <c r="AB4" s="1">
        <v>-7.9287990000000003E-2</v>
      </c>
      <c r="AC4" s="1">
        <v>0.28185292000000001</v>
      </c>
      <c r="AD4" s="1">
        <v>0.21203760999999999</v>
      </c>
    </row>
    <row r="5" spans="1:30" x14ac:dyDescent="0.25">
      <c r="A5" s="1">
        <v>-0.30951113000000002</v>
      </c>
      <c r="B5" s="1">
        <v>0.38020706999999998</v>
      </c>
      <c r="C5" s="1">
        <v>-0.23372086</v>
      </c>
      <c r="D5" s="1">
        <v>0.30841488</v>
      </c>
      <c r="E5" s="1">
        <v>-5.9472810000000001E-2</v>
      </c>
      <c r="F5" s="31">
        <v>-6.49565174349261E-2</v>
      </c>
      <c r="G5" s="31">
        <v>8.4101078312395397E-2</v>
      </c>
      <c r="H5" s="31">
        <v>0.26452361465737101</v>
      </c>
      <c r="I5" s="31">
        <v>6.1803272291756597E-2</v>
      </c>
      <c r="J5" s="31">
        <v>0.36000429813927798</v>
      </c>
      <c r="K5" s="31">
        <v>0.43582405840723298</v>
      </c>
      <c r="L5" s="31">
        <v>0.44708071685984002</v>
      </c>
      <c r="M5" s="31">
        <v>4.2932884031472003E-2</v>
      </c>
      <c r="R5" s="1">
        <v>-0.21133916</v>
      </c>
      <c r="S5" s="1">
        <v>-8.8419479999999995E-2</v>
      </c>
      <c r="T5" s="1">
        <v>-0.12695454</v>
      </c>
      <c r="U5" s="1">
        <v>0.56718469000000005</v>
      </c>
      <c r="V5" s="1">
        <v>-5.9472810000000001E-2</v>
      </c>
      <c r="W5" s="1">
        <v>0.27618752000000002</v>
      </c>
      <c r="X5" s="1">
        <v>0.40631103000000002</v>
      </c>
      <c r="Y5" s="1">
        <v>-0.15521768999999999</v>
      </c>
      <c r="Z5" s="1">
        <v>-5.310455E-2</v>
      </c>
      <c r="AA5" s="1">
        <v>0.42038449999999999</v>
      </c>
      <c r="AB5" s="1">
        <v>-0.24487452000000001</v>
      </c>
      <c r="AC5" s="1">
        <v>-3.2284109999999998E-2</v>
      </c>
      <c r="AD5" s="1">
        <v>0.31647285000000003</v>
      </c>
    </row>
    <row r="6" spans="1:30" x14ac:dyDescent="0.25">
      <c r="A6" s="1">
        <v>-0.41586159</v>
      </c>
      <c r="B6" s="1">
        <v>-0.19485696</v>
      </c>
      <c r="C6" s="1">
        <v>0.15262534999999999</v>
      </c>
      <c r="D6" s="1">
        <v>8.3100140000000003E-2</v>
      </c>
      <c r="E6" s="1">
        <v>0.27618752000000002</v>
      </c>
      <c r="F6" s="31">
        <v>4.0405584203059897E-2</v>
      </c>
      <c r="G6" s="31">
        <v>8.4624173252891705E-2</v>
      </c>
      <c r="H6" s="31">
        <v>-0.27538290848031399</v>
      </c>
      <c r="I6" s="31">
        <v>-0.27637074526586197</v>
      </c>
      <c r="J6" s="31">
        <v>0.15159059961337401</v>
      </c>
      <c r="K6" s="31">
        <v>3.3178590229904401E-3</v>
      </c>
      <c r="L6" s="31">
        <v>-6.4745174312345194E-2</v>
      </c>
      <c r="M6" s="31">
        <v>0.70315557647437998</v>
      </c>
    </row>
    <row r="7" spans="1:30" x14ac:dyDescent="0.25">
      <c r="A7" s="1">
        <v>0.33338369000000001</v>
      </c>
      <c r="B7" s="1">
        <v>0.2307843</v>
      </c>
      <c r="C7" s="1">
        <v>0.26418377999999998</v>
      </c>
      <c r="D7" s="1">
        <v>0.26657262999999998</v>
      </c>
      <c r="E7" s="1">
        <v>0.40631103000000002</v>
      </c>
      <c r="F7" s="31">
        <v>4.3781575569460801E-2</v>
      </c>
      <c r="G7" s="31">
        <v>3.2496402211090902E-2</v>
      </c>
      <c r="H7" s="31">
        <v>0.13129064918899799</v>
      </c>
      <c r="I7" s="31">
        <v>-0.20693296701157499</v>
      </c>
      <c r="J7" s="31">
        <v>-9.7429126958142195E-2</v>
      </c>
      <c r="K7" s="31">
        <v>-0.44778270747998</v>
      </c>
      <c r="L7" s="31">
        <v>0.504493888381225</v>
      </c>
      <c r="M7" s="31">
        <v>4.5915362764766002E-2</v>
      </c>
    </row>
    <row r="8" spans="1:30" x14ac:dyDescent="0.25">
      <c r="A8" s="1">
        <v>-2.8124679999999999E-2</v>
      </c>
      <c r="B8" s="1">
        <v>-0.10478899</v>
      </c>
      <c r="C8" s="1">
        <v>0.37555738999999999</v>
      </c>
      <c r="D8" s="1">
        <v>0.15654720999999999</v>
      </c>
      <c r="E8" s="1">
        <v>-0.15521768999999999</v>
      </c>
      <c r="F8" s="31">
        <v>-0.79588735378224995</v>
      </c>
      <c r="G8" s="31">
        <v>0.36371981962007499</v>
      </c>
      <c r="H8" s="31">
        <v>0.10348867355984399</v>
      </c>
      <c r="I8" s="31">
        <v>9.4893959043467396E-2</v>
      </c>
      <c r="J8" s="31">
        <v>-0.104394097551301</v>
      </c>
      <c r="K8" s="31">
        <v>7.1336192016985198E-3</v>
      </c>
      <c r="L8" s="31">
        <v>-4.5271724459360403E-2</v>
      </c>
      <c r="M8" s="31">
        <v>1.33664629217862E-2</v>
      </c>
    </row>
    <row r="9" spans="1:30" x14ac:dyDescent="0.25">
      <c r="A9" s="1">
        <v>0.16833345</v>
      </c>
      <c r="B9" s="1">
        <v>0.26034613000000001</v>
      </c>
      <c r="C9" s="1">
        <v>-0.42922842999999999</v>
      </c>
      <c r="D9" s="1">
        <v>0.16513548</v>
      </c>
      <c r="E9" s="1">
        <v>-5.310455E-2</v>
      </c>
      <c r="F9" s="31">
        <v>-0.27071703033822703</v>
      </c>
      <c r="G9" s="31">
        <v>2.3830595753460401E-2</v>
      </c>
      <c r="H9" s="31">
        <v>-0.74528834366184105</v>
      </c>
      <c r="I9" s="31">
        <v>-5.4794734205276502E-2</v>
      </c>
      <c r="J9" s="31">
        <v>-0.21063156747395601</v>
      </c>
      <c r="K9" s="31">
        <v>1.1425846541696E-2</v>
      </c>
      <c r="L9" s="31">
        <v>0.110977818285975</v>
      </c>
      <c r="M9" s="31">
        <v>2.1046917895334898E-2</v>
      </c>
    </row>
    <row r="10" spans="1:30" x14ac:dyDescent="0.25">
      <c r="A10" s="1">
        <v>-7.0722419999999994E-2</v>
      </c>
      <c r="B10" s="1">
        <v>-0.37149633999999998</v>
      </c>
      <c r="C10" s="1">
        <v>-0.39103371999999997</v>
      </c>
      <c r="D10" s="1">
        <v>0.26850386999999998</v>
      </c>
      <c r="E10" s="1">
        <v>0.42038449999999999</v>
      </c>
      <c r="F10" s="31">
        <v>8.6100595583488204E-2</v>
      </c>
      <c r="G10" s="31">
        <v>0.27273948543054999</v>
      </c>
      <c r="H10" s="31">
        <v>0.209251151303945</v>
      </c>
      <c r="I10" s="31">
        <v>0.25348794462748703</v>
      </c>
      <c r="J10" s="31">
        <v>-0.49520059583771098</v>
      </c>
      <c r="K10" s="31">
        <v>0.14199730432669</v>
      </c>
      <c r="L10" s="31">
        <v>-3.4198247139255902E-3</v>
      </c>
      <c r="M10" s="31">
        <v>-7.1359167243264703E-3</v>
      </c>
    </row>
    <row r="11" spans="1:30" x14ac:dyDescent="0.25">
      <c r="A11" s="1">
        <v>0.42189455999999997</v>
      </c>
      <c r="B11" s="1">
        <v>0.18537540999999999</v>
      </c>
      <c r="C11" s="1">
        <v>-0.15613738999999999</v>
      </c>
      <c r="D11" s="1">
        <v>-7.9287990000000003E-2</v>
      </c>
      <c r="E11" s="1">
        <v>-0.24487452000000001</v>
      </c>
      <c r="F11" s="31">
        <v>-1.0856873019656601E-2</v>
      </c>
      <c r="G11" s="31">
        <v>-7.3837712864177799E-2</v>
      </c>
      <c r="H11" s="31">
        <v>0.26393733722588703</v>
      </c>
      <c r="I11" s="31">
        <v>0.33700871991201797</v>
      </c>
      <c r="J11" s="31">
        <v>-0.10254155788677299</v>
      </c>
      <c r="K11" s="31">
        <v>-2.6406886726284499E-2</v>
      </c>
      <c r="L11" s="31">
        <v>-7.4531776275566203E-2</v>
      </c>
      <c r="M11" s="31">
        <v>0.70102830870396204</v>
      </c>
    </row>
    <row r="12" spans="1:30" x14ac:dyDescent="0.25">
      <c r="A12" s="1">
        <v>-0.32009747</v>
      </c>
      <c r="B12" s="1">
        <v>0.37040388000000002</v>
      </c>
      <c r="C12" s="1">
        <v>-0.28094116000000002</v>
      </c>
      <c r="D12" s="1">
        <v>0.28185292000000001</v>
      </c>
      <c r="E12" s="1">
        <v>-3.2284109999999998E-2</v>
      </c>
      <c r="F12" s="31">
        <v>-6.16780690951413E-2</v>
      </c>
      <c r="G12" s="31">
        <v>1.88733136701482E-2</v>
      </c>
      <c r="H12" s="31">
        <v>0.230710029086791</v>
      </c>
      <c r="I12" s="31">
        <v>-0.122011338488585</v>
      </c>
      <c r="J12" s="31">
        <v>3.40288743092154E-3</v>
      </c>
      <c r="K12" s="31">
        <v>-0.52504055965693497</v>
      </c>
      <c r="L12" s="31">
        <v>-0.50076020365561502</v>
      </c>
      <c r="M12" s="31">
        <v>-4.7002684027431602E-2</v>
      </c>
    </row>
    <row r="13" spans="1:30" x14ac:dyDescent="0.25">
      <c r="A13" s="1">
        <v>0.35914742999999999</v>
      </c>
      <c r="B13" s="1">
        <v>0.30243910000000002</v>
      </c>
      <c r="C13" s="1">
        <v>0.20385797999999999</v>
      </c>
      <c r="D13" s="1">
        <v>0.21203760999999999</v>
      </c>
      <c r="E13" s="1">
        <v>0.31647285000000003</v>
      </c>
      <c r="F13" s="31">
        <v>3.77684954805695E-2</v>
      </c>
      <c r="G13" s="31">
        <v>1.6832577161700502E-2</v>
      </c>
      <c r="H13" s="31">
        <v>3.28697884501023E-2</v>
      </c>
      <c r="I13" s="31">
        <v>-0.25502939371686301</v>
      </c>
      <c r="J13" s="31">
        <v>-1.49033119864821E-3</v>
      </c>
      <c r="K13" s="31">
        <v>0.52644463340738601</v>
      </c>
      <c r="L13" s="31">
        <v>-0.49653533394076899</v>
      </c>
      <c r="M13" s="31">
        <v>-3.6811565486511301E-2</v>
      </c>
    </row>
    <row r="15" spans="1:30" x14ac:dyDescent="0.25">
      <c r="E15" s="23" t="s">
        <v>52</v>
      </c>
    </row>
    <row r="20" spans="1:14" x14ac:dyDescent="0.25">
      <c r="A20">
        <v>-0.359208582155712</v>
      </c>
      <c r="B20">
        <v>0.26978510520323901</v>
      </c>
      <c r="C20">
        <v>-0.26669000136636001</v>
      </c>
      <c r="D20">
        <v>-4.4912913380348203E-2</v>
      </c>
      <c r="E20">
        <v>0.21134247720560301</v>
      </c>
      <c r="F20">
        <v>7.9176214512215404E-2</v>
      </c>
      <c r="G20">
        <v>-0.29913698937537803</v>
      </c>
      <c r="H20">
        <v>6.0969270940135101E-2</v>
      </c>
      <c r="I20">
        <v>-0.14429725379288</v>
      </c>
      <c r="J20">
        <v>-0.71612969440655905</v>
      </c>
      <c r="K20">
        <v>0.17444552672904201</v>
      </c>
      <c r="L20">
        <v>0.117091767135969</v>
      </c>
      <c r="M20">
        <v>5.5718923911387601E-2</v>
      </c>
      <c r="N20" t="s">
        <v>62</v>
      </c>
    </row>
    <row r="21" spans="1:14" x14ac:dyDescent="0.25">
      <c r="A21">
        <v>0.15036954478127301</v>
      </c>
      <c r="B21">
        <v>-0.39150525309481599</v>
      </c>
      <c r="C21">
        <v>0.28533434961640203</v>
      </c>
      <c r="D21">
        <v>0.16535408337225499</v>
      </c>
      <c r="E21">
        <v>8.8431099273439298E-2</v>
      </c>
      <c r="F21">
        <v>-0.31685005537146599</v>
      </c>
      <c r="G21">
        <v>-0.53509006729888597</v>
      </c>
      <c r="H21">
        <v>0.243449676799458</v>
      </c>
      <c r="I21">
        <v>-0.50227246463699704</v>
      </c>
      <c r="J21">
        <v>2.4403895811176801E-2</v>
      </c>
      <c r="K21">
        <v>6.0107462535506702E-2</v>
      </c>
      <c r="L21">
        <v>6.0131104328737701E-2</v>
      </c>
      <c r="M21">
        <v>3.8078800607546301E-2</v>
      </c>
    </row>
    <row r="22" spans="1:14" x14ac:dyDescent="0.25">
      <c r="A22">
        <v>-1.04037733891667E-2</v>
      </c>
      <c r="B22">
        <v>-0.16652492656628001</v>
      </c>
      <c r="C22">
        <v>-0.276408462355269</v>
      </c>
      <c r="D22">
        <v>0.66451699568447298</v>
      </c>
      <c r="E22">
        <v>0.126935927011772</v>
      </c>
      <c r="F22">
        <v>0.14129355729850099</v>
      </c>
      <c r="G22">
        <v>-0.404514191230609</v>
      </c>
      <c r="H22">
        <v>-0.20007760262131399</v>
      </c>
      <c r="I22">
        <v>0.44382020601844402</v>
      </c>
      <c r="J22">
        <v>9.4570454988523997E-2</v>
      </c>
      <c r="K22">
        <v>-3.9894670183515703E-2</v>
      </c>
      <c r="L22">
        <v>-7.6982736794822607E-2</v>
      </c>
      <c r="M22">
        <v>-3.16146348662786E-2</v>
      </c>
    </row>
    <row r="23" spans="1:14" x14ac:dyDescent="0.25">
      <c r="A23">
        <v>-0.157489086634962</v>
      </c>
      <c r="B23">
        <v>0.175039160757334</v>
      </c>
      <c r="C23">
        <v>1.6042001835714501E-2</v>
      </c>
      <c r="D23">
        <v>-0.318478772874498</v>
      </c>
      <c r="E23">
        <v>-0.56725616436107895</v>
      </c>
      <c r="F23">
        <v>-0.38225422855177599</v>
      </c>
      <c r="G23">
        <v>-0.48159663150264298</v>
      </c>
      <c r="H23">
        <v>-4.1362623635561096E-3</v>
      </c>
      <c r="I23">
        <v>0.37032082347192202</v>
      </c>
      <c r="J23">
        <v>6.7289773294613095E-2</v>
      </c>
      <c r="K23">
        <v>-6.9106675894751602E-3</v>
      </c>
      <c r="L23">
        <v>-3.0328744094011598E-2</v>
      </c>
      <c r="M23">
        <v>-1.9725969520043799E-2</v>
      </c>
    </row>
    <row r="24" spans="1:14" x14ac:dyDescent="0.25">
      <c r="A24">
        <v>-0.30950620804573198</v>
      </c>
      <c r="B24">
        <v>0.38019711225971298</v>
      </c>
      <c r="C24">
        <v>0.23373645072235799</v>
      </c>
      <c r="D24">
        <v>0.30843265086569699</v>
      </c>
      <c r="E24">
        <v>5.9479427550837301E-2</v>
      </c>
      <c r="F24">
        <v>-6.49565174349261E-2</v>
      </c>
      <c r="G24">
        <v>8.4101078312395397E-2</v>
      </c>
      <c r="H24" s="32">
        <v>0.26452361465737101</v>
      </c>
      <c r="I24">
        <v>6.1803272291756597E-2</v>
      </c>
      <c r="J24">
        <v>0.36000429813927798</v>
      </c>
      <c r="K24">
        <v>0.43582405840723298</v>
      </c>
      <c r="L24">
        <v>0.44708071685984002</v>
      </c>
      <c r="M24">
        <v>4.2932884031472003E-2</v>
      </c>
    </row>
    <row r="25" spans="1:14" x14ac:dyDescent="0.25">
      <c r="A25">
        <v>-0.41586359070081502</v>
      </c>
      <c r="B25">
        <v>-0.19485035847362001</v>
      </c>
      <c r="C25">
        <v>-0.15259396117778801</v>
      </c>
      <c r="D25">
        <v>8.3114518414778099E-2</v>
      </c>
      <c r="E25">
        <v>-0.27618300837320697</v>
      </c>
      <c r="F25">
        <v>4.0405584203059897E-2</v>
      </c>
      <c r="G25">
        <v>8.4624173252891705E-2</v>
      </c>
      <c r="H25">
        <v>-0.27538290848031399</v>
      </c>
      <c r="I25">
        <v>-0.27637074526586197</v>
      </c>
      <c r="J25">
        <v>0.15159059961337401</v>
      </c>
      <c r="K25">
        <v>3.3178590229904401E-3</v>
      </c>
      <c r="L25">
        <v>-6.4745174312345194E-2</v>
      </c>
      <c r="M25">
        <v>0.70315557647437998</v>
      </c>
    </row>
    <row r="26" spans="1:14" x14ac:dyDescent="0.25">
      <c r="A26">
        <v>0.33337986260629898</v>
      </c>
      <c r="B26">
        <v>0.23076655405697499</v>
      </c>
      <c r="C26">
        <v>-0.264140984704551</v>
      </c>
      <c r="D26">
        <v>0.26661436662107801</v>
      </c>
      <c r="E26">
        <v>-0.40631953273425098</v>
      </c>
      <c r="F26">
        <v>4.3781575569460801E-2</v>
      </c>
      <c r="G26">
        <v>3.2496402211090902E-2</v>
      </c>
      <c r="H26">
        <v>0.13129064918899799</v>
      </c>
      <c r="I26">
        <v>-0.20693296701157499</v>
      </c>
      <c r="J26">
        <v>-9.7429126958142195E-2</v>
      </c>
      <c r="K26">
        <v>-0.44778270747998</v>
      </c>
      <c r="L26">
        <v>0.504493888381225</v>
      </c>
      <c r="M26">
        <v>4.5915362764766002E-2</v>
      </c>
    </row>
    <row r="27" spans="1:14" x14ac:dyDescent="0.25">
      <c r="A27">
        <v>-2.81348387706402E-2</v>
      </c>
      <c r="B27">
        <v>-0.10477586062127001</v>
      </c>
      <c r="C27">
        <v>-0.37553042489185101</v>
      </c>
      <c r="D27">
        <v>0.15655122343132</v>
      </c>
      <c r="E27">
        <v>0.15517184246829399</v>
      </c>
      <c r="F27">
        <v>-0.79588735378224995</v>
      </c>
      <c r="G27">
        <v>0.36371981962007499</v>
      </c>
      <c r="H27">
        <v>0.10348867355984399</v>
      </c>
      <c r="I27">
        <v>9.4893959043467396E-2</v>
      </c>
      <c r="J27">
        <v>-0.104394097551301</v>
      </c>
      <c r="K27">
        <v>7.1336192016985198E-3</v>
      </c>
      <c r="L27">
        <v>-4.5271724459360403E-2</v>
      </c>
      <c r="M27">
        <v>1.33664629217862E-2</v>
      </c>
    </row>
    <row r="28" spans="1:14" x14ac:dyDescent="0.25">
      <c r="A28">
        <v>0.16833768007038899</v>
      </c>
      <c r="B28">
        <v>0.260314858518785</v>
      </c>
      <c r="C28">
        <v>0.42925897026218202</v>
      </c>
      <c r="D28">
        <v>0.16506062275064401</v>
      </c>
      <c r="E28">
        <v>5.3125184003402201E-2</v>
      </c>
      <c r="F28">
        <v>-0.27071703033822703</v>
      </c>
      <c r="G28">
        <v>2.3830595753460401E-2</v>
      </c>
      <c r="H28">
        <v>-0.74528834366184105</v>
      </c>
      <c r="I28">
        <v>-5.4794734205276502E-2</v>
      </c>
      <c r="J28">
        <v>-0.21063156747395601</v>
      </c>
      <c r="K28">
        <v>1.1425846541696E-2</v>
      </c>
      <c r="L28">
        <v>0.110977818285975</v>
      </c>
      <c r="M28">
        <v>2.1046917895334898E-2</v>
      </c>
    </row>
    <row r="29" spans="1:14" x14ac:dyDescent="0.25">
      <c r="A29">
        <v>-7.0724728496223604E-2</v>
      </c>
      <c r="B29">
        <v>-0.37150102743678498</v>
      </c>
      <c r="C29">
        <v>0.391105337249115</v>
      </c>
      <c r="D29">
        <v>0.26845084044770401</v>
      </c>
      <c r="E29">
        <v>-0.42031411813290098</v>
      </c>
      <c r="F29">
        <v>8.6100595583488204E-2</v>
      </c>
      <c r="G29">
        <v>0.27273948543054999</v>
      </c>
      <c r="H29">
        <v>0.209251151303945</v>
      </c>
      <c r="I29">
        <v>0.25348794462748703</v>
      </c>
      <c r="J29">
        <v>-0.49520059583771098</v>
      </c>
      <c r="K29">
        <v>0.14199730432669</v>
      </c>
      <c r="L29">
        <v>-3.4198247139255902E-3</v>
      </c>
      <c r="M29">
        <v>-7.1359167243264703E-3</v>
      </c>
    </row>
    <row r="30" spans="1:14" x14ac:dyDescent="0.25">
      <c r="A30">
        <v>0.42188843374879897</v>
      </c>
      <c r="B30">
        <v>0.18539868150562</v>
      </c>
      <c r="C30">
        <v>0.15611827175092099</v>
      </c>
      <c r="D30">
        <v>-7.93000057770539E-2</v>
      </c>
      <c r="E30">
        <v>0.244868592970334</v>
      </c>
      <c r="F30">
        <v>-1.0856873019656601E-2</v>
      </c>
      <c r="G30">
        <v>-7.3837712864177799E-2</v>
      </c>
      <c r="H30">
        <v>0.26393733722588703</v>
      </c>
      <c r="I30">
        <v>0.33700871991201797</v>
      </c>
      <c r="J30">
        <v>-0.10254155788677299</v>
      </c>
      <c r="K30">
        <v>-2.6406886726284499E-2</v>
      </c>
      <c r="L30">
        <v>-7.4531776275566203E-2</v>
      </c>
      <c r="M30">
        <v>0.70102830870396204</v>
      </c>
    </row>
    <row r="31" spans="1:14" x14ac:dyDescent="0.25">
      <c r="A31">
        <v>-0.32008147904479001</v>
      </c>
      <c r="B31">
        <v>0.370409834714714</v>
      </c>
      <c r="C31">
        <v>0.280986845603587</v>
      </c>
      <c r="D31">
        <v>0.28182313343531901</v>
      </c>
      <c r="E31">
        <v>3.2296160168495798E-2</v>
      </c>
      <c r="F31">
        <v>-6.16780690951413E-2</v>
      </c>
      <c r="G31">
        <v>1.88733136701482E-2</v>
      </c>
      <c r="H31">
        <v>0.230710029086791</v>
      </c>
      <c r="I31">
        <v>-0.122011338488585</v>
      </c>
      <c r="J31">
        <v>3.40288743092154E-3</v>
      </c>
      <c r="K31">
        <v>-0.52504055965693497</v>
      </c>
      <c r="L31">
        <v>-0.50076020365561502</v>
      </c>
      <c r="M31">
        <v>-4.7002684027431602E-2</v>
      </c>
    </row>
    <row r="32" spans="1:14" x14ac:dyDescent="0.25">
      <c r="A32">
        <v>0.359159097411968</v>
      </c>
      <c r="B32">
        <v>0.30243962922420897</v>
      </c>
      <c r="C32">
        <v>-0.203807243392614</v>
      </c>
      <c r="D32">
        <v>0.212074112718251</v>
      </c>
      <c r="E32">
        <v>-0.31645438815655602</v>
      </c>
      <c r="F32">
        <v>3.77684954805695E-2</v>
      </c>
      <c r="G32">
        <v>1.6832577161700502E-2</v>
      </c>
      <c r="H32">
        <v>3.28697884501023E-2</v>
      </c>
      <c r="I32">
        <v>-0.25502939371686301</v>
      </c>
      <c r="J32">
        <v>-1.49033119864821E-3</v>
      </c>
      <c r="K32">
        <v>0.52644463340738601</v>
      </c>
      <c r="L32">
        <v>-0.49653533394076899</v>
      </c>
      <c r="M32">
        <v>-3.6811565486511301E-2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B75D-CFF9-4F1F-B2F4-A87785801910}">
  <dimension ref="A1:P32"/>
  <sheetViews>
    <sheetView workbookViewId="0">
      <selection activeCell="W14" sqref="W14"/>
    </sheetView>
  </sheetViews>
  <sheetFormatPr defaultRowHeight="15" x14ac:dyDescent="0.25"/>
  <cols>
    <col min="12" max="12" width="12" bestFit="1" customWidth="1"/>
  </cols>
  <sheetData>
    <row r="1" spans="1:16" x14ac:dyDescent="0.25">
      <c r="A1" cm="1">
        <f t="array" ref="A1:E30">MMULT('NOC6 (2)'!Q3:AC32,'V - Eiegenvectors'!A1:E13)</f>
        <v>0.28713648683098936</v>
      </c>
      <c r="B1">
        <v>0.20904420008749627</v>
      </c>
      <c r="C1">
        <v>-0.76747797604159429</v>
      </c>
      <c r="D1">
        <v>-0.63956355253342445</v>
      </c>
      <c r="E1">
        <v>-0.55989728749698298</v>
      </c>
      <c r="G1" s="39" t="s">
        <v>66</v>
      </c>
      <c r="H1" s="40"/>
      <c r="I1" s="40"/>
      <c r="J1" s="40"/>
      <c r="K1" s="41"/>
      <c r="L1" s="39" t="s">
        <v>67</v>
      </c>
      <c r="M1" s="40"/>
      <c r="N1" s="40"/>
      <c r="O1" s="40"/>
      <c r="P1" s="41"/>
    </row>
    <row r="2" spans="1:16" x14ac:dyDescent="0.25">
      <c r="A2">
        <v>-1.7601663630540929</v>
      </c>
      <c r="B2">
        <v>1.824174100242709</v>
      </c>
      <c r="C2">
        <v>-1.8558121868913993</v>
      </c>
      <c r="D2">
        <v>-0.35215202653782302</v>
      </c>
      <c r="E2">
        <v>-0.12107972205105105</v>
      </c>
      <c r="G2" s="8">
        <v>0.28712945393636735</v>
      </c>
      <c r="H2" s="8">
        <v>0.20910010683328356</v>
      </c>
      <c r="I2" s="8">
        <v>0.76743553342045789</v>
      </c>
      <c r="J2" s="8">
        <v>-0.63975025398803309</v>
      </c>
      <c r="K2" s="8">
        <v>0.5600728612294128</v>
      </c>
      <c r="L2" s="38">
        <f>(A1-G2)/G2</f>
        <v>2.4493811155870203E-5</v>
      </c>
      <c r="M2" s="38">
        <f t="shared" ref="M2:O2" si="0">(B1-H2)/H2</f>
        <v>-2.6736832722836526E-4</v>
      </c>
      <c r="N2" s="38">
        <f t="shared" si="0"/>
        <v>-2.0000553044774292</v>
      </c>
      <c r="O2" s="38">
        <f t="shared" si="0"/>
        <v>-2.918349050192518E-4</v>
      </c>
      <c r="P2" s="38">
        <f>(E1-K2)/K2</f>
        <v>-1.9996865162649653</v>
      </c>
    </row>
    <row r="3" spans="1:16" x14ac:dyDescent="0.25">
      <c r="A3">
        <v>3.9918259701936631</v>
      </c>
      <c r="B3">
        <v>-1.3915509847766545</v>
      </c>
      <c r="C3">
        <v>-1.4071529971061905</v>
      </c>
      <c r="D3">
        <v>1.2713432690359019</v>
      </c>
      <c r="E3">
        <v>0.45256947396198177</v>
      </c>
      <c r="G3" s="8">
        <v>-1.7601520579706369</v>
      </c>
      <c r="H3" s="8">
        <v>1.8241969305997621</v>
      </c>
      <c r="I3" s="8">
        <v>1.8558251226554507</v>
      </c>
      <c r="J3" s="8">
        <v>-0.35225801109537574</v>
      </c>
      <c r="K3" s="8">
        <v>0.12115400867774742</v>
      </c>
      <c r="L3" s="38">
        <f t="shared" ref="L3:L31" si="1">(A2-G3)/G3</f>
        <v>8.1271861662367541E-6</v>
      </c>
      <c r="M3" s="38">
        <f t="shared" ref="M3:M31" si="2">(B2-H3)/H3</f>
        <v>-1.2515291890978464E-5</v>
      </c>
      <c r="N3" s="38">
        <f t="shared" ref="N3:N31" si="3">(C2-I3)/I3</f>
        <v>-1.9999930296427753</v>
      </c>
      <c r="O3" s="38">
        <f t="shared" ref="O3:O31" si="4">(D2-J3)/J3</f>
        <v>-3.0087195809447108E-4</v>
      </c>
      <c r="P3" s="38">
        <f t="shared" ref="P3:P31" si="5">(E2-K3)/K3</f>
        <v>-1.9993868413640858</v>
      </c>
    </row>
    <row r="4" spans="1:16" x14ac:dyDescent="0.25">
      <c r="A4">
        <v>-4.1726498234292571</v>
      </c>
      <c r="B4">
        <v>-1.5915643145019671</v>
      </c>
      <c r="C4">
        <v>-1.3179876642302606</v>
      </c>
      <c r="D4">
        <v>-9.2356993820939481E-2</v>
      </c>
      <c r="E4">
        <v>1.2544524537402539</v>
      </c>
      <c r="G4" s="8">
        <v>3.9918501805617308</v>
      </c>
      <c r="H4" s="8">
        <v>-1.3916826260927038</v>
      </c>
      <c r="I4" s="8">
        <v>1.4072122710074062</v>
      </c>
      <c r="J4" s="8">
        <v>1.2712042295656389</v>
      </c>
      <c r="K4" s="8">
        <v>-0.45243488860457731</v>
      </c>
      <c r="L4" s="38">
        <f t="shared" si="1"/>
        <v>-6.0649490768838296E-6</v>
      </c>
      <c r="M4" s="38">
        <f t="shared" si="2"/>
        <v>-9.4591477669628545E-5</v>
      </c>
      <c r="N4" s="38">
        <f t="shared" si="3"/>
        <v>-1.9999578784932188</v>
      </c>
      <c r="O4" s="38">
        <f t="shared" si="4"/>
        <v>1.0937618600471139E-4</v>
      </c>
      <c r="P4" s="38">
        <f t="shared" si="5"/>
        <v>-2.0002974690077937</v>
      </c>
    </row>
    <row r="5" spans="1:16" x14ac:dyDescent="0.25">
      <c r="A5">
        <v>0.25652686405783992</v>
      </c>
      <c r="B5">
        <v>-2.2554412083468023</v>
      </c>
      <c r="C5">
        <v>0.75425758935008413</v>
      </c>
      <c r="D5">
        <v>1.941374359025767</v>
      </c>
      <c r="E5">
        <v>-0.59771136522328128</v>
      </c>
      <c r="G5" s="8">
        <v>-4.1726354266754653</v>
      </c>
      <c r="H5" s="8">
        <v>-1.5915977429618451</v>
      </c>
      <c r="I5" s="8">
        <v>1.3180578024965535</v>
      </c>
      <c r="J5" s="8">
        <v>-9.241894196468714E-2</v>
      </c>
      <c r="K5" s="8">
        <v>-1.2544125765217291</v>
      </c>
      <c r="L5" s="38">
        <f t="shared" si="1"/>
        <v>3.4502783779625386E-6</v>
      </c>
      <c r="M5" s="38">
        <f t="shared" si="2"/>
        <v>-2.1003083238710286E-5</v>
      </c>
      <c r="N5" s="38">
        <f t="shared" si="3"/>
        <v>-1.999946786653696</v>
      </c>
      <c r="O5" s="38">
        <f t="shared" si="4"/>
        <v>-6.7029704550533467E-4</v>
      </c>
      <c r="P5" s="38">
        <f t="shared" si="5"/>
        <v>-2.000031789555742</v>
      </c>
    </row>
    <row r="6" spans="1:16" x14ac:dyDescent="0.25">
      <c r="A6">
        <v>-2.5054914144018636</v>
      </c>
      <c r="B6">
        <v>-2.3941859676071942</v>
      </c>
      <c r="C6">
        <v>0.40756121957255137</v>
      </c>
      <c r="D6">
        <v>1.0811806365076424</v>
      </c>
      <c r="E6">
        <v>-1.1705754443717993</v>
      </c>
      <c r="G6" s="8">
        <v>0.25652411060689589</v>
      </c>
      <c r="H6" s="8">
        <v>-2.2554812921287923</v>
      </c>
      <c r="I6" s="8">
        <v>-0.75417424204263317</v>
      </c>
      <c r="J6" s="8">
        <v>1.9414484912909071</v>
      </c>
      <c r="K6" s="8">
        <v>0.59772994214395736</v>
      </c>
      <c r="L6" s="38">
        <f t="shared" si="1"/>
        <v>1.0733692585512191E-5</v>
      </c>
      <c r="M6" s="38">
        <f t="shared" si="2"/>
        <v>-1.777172000048826E-5</v>
      </c>
      <c r="N6" s="38">
        <f t="shared" si="3"/>
        <v>-2.0001105146566993</v>
      </c>
      <c r="O6" s="38">
        <f t="shared" si="4"/>
        <v>-3.8183997913222559E-5</v>
      </c>
      <c r="P6" s="38">
        <f t="shared" si="5"/>
        <v>-1.9999689208798717</v>
      </c>
    </row>
    <row r="7" spans="1:16" x14ac:dyDescent="0.25">
      <c r="A7">
        <v>-1.1794190112852077</v>
      </c>
      <c r="B7">
        <v>-0.38732282312655547</v>
      </c>
      <c r="C7">
        <v>1.8296619311654791</v>
      </c>
      <c r="D7">
        <v>-0.83920366645837252</v>
      </c>
      <c r="E7">
        <v>0.60412868690745614</v>
      </c>
      <c r="G7" s="8">
        <v>-2.5055068908332272</v>
      </c>
      <c r="H7" s="8">
        <v>-2.3942069562151289</v>
      </c>
      <c r="I7" s="8">
        <v>-0.40751589634588786</v>
      </c>
      <c r="J7" s="8">
        <v>1.0810865916834516</v>
      </c>
      <c r="K7" s="8">
        <v>1.1706322651887153</v>
      </c>
      <c r="L7" s="38">
        <f t="shared" si="1"/>
        <v>-6.1769661940236876E-6</v>
      </c>
      <c r="M7" s="38">
        <f t="shared" si="2"/>
        <v>-8.7664133964164051E-6</v>
      </c>
      <c r="N7" s="38">
        <f t="shared" si="3"/>
        <v>-2.0001112183035556</v>
      </c>
      <c r="O7" s="38">
        <f t="shared" si="4"/>
        <v>8.6991018956582256E-5</v>
      </c>
      <c r="P7" s="38">
        <f t="shared" si="5"/>
        <v>-1.9999514614293441</v>
      </c>
    </row>
    <row r="8" spans="1:16" x14ac:dyDescent="0.25">
      <c r="A8">
        <v>-3.8634948937306957E-2</v>
      </c>
      <c r="B8">
        <v>1.3938357981395084</v>
      </c>
      <c r="C8">
        <v>1.0835262780320658</v>
      </c>
      <c r="D8">
        <v>-0.8314333130399113</v>
      </c>
      <c r="E8">
        <v>0.77371345797308977</v>
      </c>
      <c r="G8" s="8">
        <v>-1.1794406605826162</v>
      </c>
      <c r="H8" s="8">
        <v>-0.38728397757768973</v>
      </c>
      <c r="I8" s="8">
        <v>-1.8297714645737675</v>
      </c>
      <c r="J8" s="8">
        <v>-0.83887344502216976</v>
      </c>
      <c r="K8" s="8">
        <v>-0.60424117101932318</v>
      </c>
      <c r="L8" s="38">
        <f t="shared" si="1"/>
        <v>-1.8355563049573392E-5</v>
      </c>
      <c r="M8" s="38">
        <f t="shared" si="2"/>
        <v>1.0030249407348058E-4</v>
      </c>
      <c r="N8" s="38">
        <f t="shared" si="3"/>
        <v>-1.9999401382028252</v>
      </c>
      <c r="O8" s="38">
        <f t="shared" si="4"/>
        <v>3.9364869416510487E-4</v>
      </c>
      <c r="P8" s="38">
        <f t="shared" si="5"/>
        <v>-1.9998138423575518</v>
      </c>
    </row>
    <row r="9" spans="1:16" x14ac:dyDescent="0.25">
      <c r="A9">
        <v>0.724038726017599</v>
      </c>
      <c r="B9">
        <v>0.50246391929210876</v>
      </c>
      <c r="C9">
        <v>-2.7191679360759988E-2</v>
      </c>
      <c r="D9">
        <v>-2.0683002006031388</v>
      </c>
      <c r="E9">
        <v>-1.3445175630093176</v>
      </c>
      <c r="G9" s="8">
        <v>-3.8649863471343304E-2</v>
      </c>
      <c r="H9" s="8">
        <v>1.3938351482563962</v>
      </c>
      <c r="I9" s="8">
        <v>-1.0835397183346547</v>
      </c>
      <c r="J9" s="8">
        <v>-0.83127943978430041</v>
      </c>
      <c r="K9" s="8">
        <v>-0.77387438472426673</v>
      </c>
      <c r="L9" s="38">
        <f t="shared" si="1"/>
        <v>-3.8588840158273698E-4</v>
      </c>
      <c r="M9" s="38">
        <f t="shared" si="2"/>
        <v>4.6625536242694495E-7</v>
      </c>
      <c r="N9" s="38">
        <f t="shared" si="3"/>
        <v>-1.9999875959299311</v>
      </c>
      <c r="O9" s="38">
        <f t="shared" si="4"/>
        <v>1.8510412774171253E-4</v>
      </c>
      <c r="P9" s="38">
        <f t="shared" si="5"/>
        <v>-1.9997920505519324</v>
      </c>
    </row>
    <row r="10" spans="1:16" x14ac:dyDescent="0.25">
      <c r="A10">
        <v>0.34368116315465402</v>
      </c>
      <c r="B10">
        <v>1.071801882007783</v>
      </c>
      <c r="C10">
        <v>-1.223213973485217</v>
      </c>
      <c r="D10">
        <v>0.49093013950535208</v>
      </c>
      <c r="E10">
        <v>-2.0331996947256417</v>
      </c>
      <c r="G10" s="8">
        <v>0.72401155784338922</v>
      </c>
      <c r="H10" s="8">
        <v>0.5025200911583938</v>
      </c>
      <c r="I10" s="8">
        <v>2.6911023282492716E-2</v>
      </c>
      <c r="J10" s="8">
        <v>-2.0683839990098511</v>
      </c>
      <c r="K10" s="8">
        <v>1.3444988648712406</v>
      </c>
      <c r="L10" s="38">
        <f t="shared" si="1"/>
        <v>3.7524503463322216E-5</v>
      </c>
      <c r="M10" s="38">
        <f t="shared" si="2"/>
        <v>-1.1178033928066796E-4</v>
      </c>
      <c r="N10" s="38">
        <f t="shared" si="3"/>
        <v>-2.0104290377709217</v>
      </c>
      <c r="O10" s="38">
        <f t="shared" si="4"/>
        <v>-4.0513950384681526E-5</v>
      </c>
      <c r="P10" s="38">
        <f t="shared" si="5"/>
        <v>-2.0000139071430745</v>
      </c>
    </row>
    <row r="11" spans="1:16" x14ac:dyDescent="0.25">
      <c r="A11">
        <v>-2.2641138064147159</v>
      </c>
      <c r="B11">
        <v>3.530047344045055E-2</v>
      </c>
      <c r="C11">
        <v>1.2529624865041986</v>
      </c>
      <c r="D11">
        <v>0.1313933893746462</v>
      </c>
      <c r="E11">
        <v>0.95386605146689585</v>
      </c>
      <c r="G11" s="8">
        <v>0.3436929897379602</v>
      </c>
      <c r="H11" s="8">
        <v>1.0718271166549123</v>
      </c>
      <c r="I11" s="8">
        <v>1.2231450192129183</v>
      </c>
      <c r="J11" s="8">
        <v>0.49076584998814043</v>
      </c>
      <c r="K11" s="8">
        <v>2.0332402256131887</v>
      </c>
      <c r="L11" s="38">
        <f t="shared" si="1"/>
        <v>-3.4410312864369365E-5</v>
      </c>
      <c r="M11" s="38">
        <f t="shared" si="2"/>
        <v>-2.3543579684734535E-5</v>
      </c>
      <c r="N11" s="38">
        <f t="shared" si="3"/>
        <v>-2.0000563745681954</v>
      </c>
      <c r="O11" s="38">
        <f t="shared" si="4"/>
        <v>3.3476151043438876E-4</v>
      </c>
      <c r="P11" s="38">
        <f t="shared" si="5"/>
        <v>-1.9999800658638183</v>
      </c>
    </row>
    <row r="12" spans="1:16" x14ac:dyDescent="0.25">
      <c r="A12">
        <v>-0.23698504045603749</v>
      </c>
      <c r="B12">
        <v>0.60813195873775716</v>
      </c>
      <c r="C12">
        <v>-0.49775231397058628</v>
      </c>
      <c r="D12">
        <v>-0.71347430318098259</v>
      </c>
      <c r="E12">
        <v>-2.4347154735148178</v>
      </c>
      <c r="G12" s="8">
        <v>-2.2640929166116566</v>
      </c>
      <c r="H12" s="8">
        <v>3.529004322334315E-2</v>
      </c>
      <c r="I12" s="8">
        <v>-1.2529054686312633</v>
      </c>
      <c r="J12" s="8">
        <v>0.13161303125617452</v>
      </c>
      <c r="K12" s="8">
        <v>-0.95392883742387058</v>
      </c>
      <c r="L12" s="38">
        <f t="shared" si="1"/>
        <v>9.2265661475713364E-6</v>
      </c>
      <c r="M12" s="38">
        <f t="shared" si="2"/>
        <v>2.9555693772857284E-4</v>
      </c>
      <c r="N12" s="38">
        <f t="shared" si="3"/>
        <v>-2.0000455085194875</v>
      </c>
      <c r="O12" s="38">
        <f t="shared" si="4"/>
        <v>-1.668846005839645E-3</v>
      </c>
      <c r="P12" s="38">
        <f t="shared" si="5"/>
        <v>-1.999934181718267</v>
      </c>
    </row>
    <row r="13" spans="1:16" x14ac:dyDescent="0.25">
      <c r="A13">
        <v>-2.9155947844005863</v>
      </c>
      <c r="B13">
        <v>1.2012079290999684</v>
      </c>
      <c r="C13">
        <v>1.8674604183922434</v>
      </c>
      <c r="D13">
        <v>-0.34471637651897469</v>
      </c>
      <c r="E13">
        <v>-0.33307762946348463</v>
      </c>
      <c r="G13" s="8">
        <v>-0.23699206476726467</v>
      </c>
      <c r="H13" s="8">
        <v>0.60818082020629627</v>
      </c>
      <c r="I13" s="8">
        <v>0.49748844067420339</v>
      </c>
      <c r="J13" s="8">
        <v>-0.71350953528211658</v>
      </c>
      <c r="K13" s="8">
        <v>2.4347077577888263</v>
      </c>
      <c r="L13" s="38">
        <f t="shared" si="1"/>
        <v>-2.9639436383979464E-5</v>
      </c>
      <c r="M13" s="38">
        <f t="shared" si="2"/>
        <v>-8.0340364108380863E-5</v>
      </c>
      <c r="N13" s="38">
        <f t="shared" si="3"/>
        <v>-2.0005304109096991</v>
      </c>
      <c r="O13" s="38">
        <f t="shared" si="4"/>
        <v>-4.9378598871920757E-5</v>
      </c>
      <c r="P13" s="38">
        <f t="shared" si="5"/>
        <v>-2.0000031690563134</v>
      </c>
    </row>
    <row r="14" spans="1:16" x14ac:dyDescent="0.25">
      <c r="A14">
        <v>1.7211595723980988</v>
      </c>
      <c r="B14">
        <v>2.2456858077802702</v>
      </c>
      <c r="C14">
        <v>0.95163640329785593</v>
      </c>
      <c r="D14">
        <v>0.60549267205527513</v>
      </c>
      <c r="E14">
        <v>-0.15740258346417757</v>
      </c>
      <c r="G14" s="8">
        <v>-2.9156101061648281</v>
      </c>
      <c r="H14" s="8">
        <v>1.2013109159841033</v>
      </c>
      <c r="I14" s="8">
        <v>-1.8674741418793641</v>
      </c>
      <c r="J14" s="8">
        <v>-0.34444223859793333</v>
      </c>
      <c r="K14" s="8">
        <v>0.332939822437193</v>
      </c>
      <c r="L14" s="38">
        <f t="shared" si="1"/>
        <v>-5.2550799605876249E-6</v>
      </c>
      <c r="M14" s="38">
        <f t="shared" si="2"/>
        <v>-8.5728750787665643E-5</v>
      </c>
      <c r="N14" s="38">
        <f t="shared" si="3"/>
        <v>-1.9999926513107664</v>
      </c>
      <c r="O14" s="38">
        <f t="shared" si="4"/>
        <v>7.9588938382601365E-4</v>
      </c>
      <c r="P14" s="38">
        <f t="shared" si="5"/>
        <v>-2.0004139097128211</v>
      </c>
    </row>
    <row r="15" spans="1:16" x14ac:dyDescent="0.25">
      <c r="A15">
        <v>-0.45665119076582278</v>
      </c>
      <c r="B15">
        <v>1.1799290237928757</v>
      </c>
      <c r="C15">
        <v>0.31648517034384149</v>
      </c>
      <c r="D15">
        <v>-0.30108832884625236</v>
      </c>
      <c r="E15">
        <v>-4.7888347354055325E-2</v>
      </c>
      <c r="G15" s="8">
        <v>1.7211836830175429</v>
      </c>
      <c r="H15" s="8">
        <v>2.2456380448677198</v>
      </c>
      <c r="I15" s="8">
        <v>-0.9516141926930588</v>
      </c>
      <c r="J15" s="8">
        <v>0.60568974018933253</v>
      </c>
      <c r="K15" s="8">
        <v>0.15728401574979145</v>
      </c>
      <c r="L15" s="38">
        <f t="shared" si="1"/>
        <v>-1.4008161756334451E-5</v>
      </c>
      <c r="M15" s="38">
        <f t="shared" si="2"/>
        <v>2.1269194587941191E-5</v>
      </c>
      <c r="N15" s="38">
        <f t="shared" si="3"/>
        <v>-2.0000233399259568</v>
      </c>
      <c r="O15" s="38">
        <f t="shared" si="4"/>
        <v>-3.2536151924217381E-4</v>
      </c>
      <c r="P15" s="38">
        <f t="shared" si="5"/>
        <v>-2.0007538446537043</v>
      </c>
    </row>
    <row r="16" spans="1:16" x14ac:dyDescent="0.25">
      <c r="A16">
        <v>0.70402045217853737</v>
      </c>
      <c r="B16">
        <v>-0.53321344544677318</v>
      </c>
      <c r="C16">
        <v>1.0013888596035956</v>
      </c>
      <c r="D16">
        <v>-1.6644224735619499</v>
      </c>
      <c r="E16">
        <v>-0.76237958924850235</v>
      </c>
      <c r="G16" s="8">
        <v>-0.45664760774805191</v>
      </c>
      <c r="H16" s="8">
        <v>1.1799269858485013</v>
      </c>
      <c r="I16" s="8">
        <v>-0.31646419170572643</v>
      </c>
      <c r="J16" s="8">
        <v>-0.30109911312142834</v>
      </c>
      <c r="K16" s="8">
        <v>4.777431953812715E-2</v>
      </c>
      <c r="L16" s="38">
        <f t="shared" si="1"/>
        <v>7.8463517821523979E-6</v>
      </c>
      <c r="M16" s="38">
        <f t="shared" si="2"/>
        <v>1.727178375279942E-6</v>
      </c>
      <c r="N16" s="38">
        <f t="shared" si="3"/>
        <v>-2.0000662907168167</v>
      </c>
      <c r="O16" s="38">
        <f t="shared" si="4"/>
        <v>-3.5816363137641983E-5</v>
      </c>
      <c r="P16" s="38">
        <f t="shared" si="5"/>
        <v>-2.0023868014663648</v>
      </c>
    </row>
    <row r="17" spans="1:16" x14ac:dyDescent="0.25">
      <c r="A17">
        <v>-0.52465905868759122</v>
      </c>
      <c r="B17">
        <v>-0.48869408003843873</v>
      </c>
      <c r="C17">
        <v>2.4683341208406357</v>
      </c>
      <c r="D17">
        <v>-0.31237138420423238</v>
      </c>
      <c r="E17">
        <v>0.32475191703998452</v>
      </c>
      <c r="G17" s="8">
        <v>0.70397211324495557</v>
      </c>
      <c r="H17" s="8">
        <v>-0.53316144079337979</v>
      </c>
      <c r="I17" s="8">
        <v>-1.0016308398268801</v>
      </c>
      <c r="J17" s="8">
        <v>-1.6642988048844711</v>
      </c>
      <c r="K17" s="8">
        <v>0.7620322018899035</v>
      </c>
      <c r="L17" s="38">
        <f t="shared" si="1"/>
        <v>6.8665977916349604E-5</v>
      </c>
      <c r="M17" s="38">
        <f t="shared" si="2"/>
        <v>9.754016216177025E-5</v>
      </c>
      <c r="N17" s="38">
        <f t="shared" si="3"/>
        <v>-1.9997584137651687</v>
      </c>
      <c r="O17" s="38">
        <f t="shared" si="4"/>
        <v>7.4306775391454457E-5</v>
      </c>
      <c r="P17" s="38">
        <f t="shared" si="5"/>
        <v>-2.0004558696571317</v>
      </c>
    </row>
    <row r="18" spans="1:16" x14ac:dyDescent="0.25">
      <c r="A18">
        <v>2.8822976354347931</v>
      </c>
      <c r="B18">
        <v>1.1624347571150466</v>
      </c>
      <c r="C18">
        <v>-0.3713588131081984</v>
      </c>
      <c r="D18">
        <v>-0.8237441130185954</v>
      </c>
      <c r="E18">
        <v>1.1872103059329748</v>
      </c>
      <c r="G18" s="8">
        <v>-0.52469132861998091</v>
      </c>
      <c r="H18" s="8">
        <v>-0.48862513116781564</v>
      </c>
      <c r="I18" s="8">
        <v>-2.4683321777291822</v>
      </c>
      <c r="J18" s="8">
        <v>-0.3121337167746891</v>
      </c>
      <c r="K18" s="8">
        <v>-0.32486218365816188</v>
      </c>
      <c r="L18" s="38">
        <f t="shared" si="1"/>
        <v>-6.1502698118853167E-5</v>
      </c>
      <c r="M18" s="38">
        <f t="shared" si="2"/>
        <v>1.4110790916197603E-4</v>
      </c>
      <c r="N18" s="38">
        <f t="shared" si="3"/>
        <v>-2.0000007872163525</v>
      </c>
      <c r="O18" s="38">
        <f t="shared" si="4"/>
        <v>7.6142824940262667E-4</v>
      </c>
      <c r="P18" s="38">
        <f t="shared" si="5"/>
        <v>-1.9996605741642943</v>
      </c>
    </row>
    <row r="19" spans="1:16" x14ac:dyDescent="0.25">
      <c r="A19">
        <v>-3.2107509172513589</v>
      </c>
      <c r="B19">
        <v>1.1685886626270867</v>
      </c>
      <c r="C19">
        <v>-1.6614410648085471</v>
      </c>
      <c r="D19">
        <v>0.10841199584887787</v>
      </c>
      <c r="E19">
        <v>-0.10945383297863898</v>
      </c>
      <c r="G19" s="8">
        <v>2.8823017449571253</v>
      </c>
      <c r="H19" s="8">
        <v>1.16237373016517</v>
      </c>
      <c r="I19" s="8">
        <v>0.37134541332278875</v>
      </c>
      <c r="J19" s="8">
        <v>-0.82375752526100587</v>
      </c>
      <c r="K19" s="8">
        <v>-1.1873426130357838</v>
      </c>
      <c r="L19" s="38">
        <f t="shared" si="1"/>
        <v>-1.4257779704701023E-6</v>
      </c>
      <c r="M19" s="38">
        <f t="shared" si="2"/>
        <v>5.250200369546343E-5</v>
      </c>
      <c r="N19" s="38">
        <f t="shared" si="3"/>
        <v>-2.0000360844241745</v>
      </c>
      <c r="O19" s="38">
        <f t="shared" si="4"/>
        <v>-1.6281784383361315E-5</v>
      </c>
      <c r="P19" s="38">
        <f t="shared" si="5"/>
        <v>-1.999888568723672</v>
      </c>
    </row>
    <row r="20" spans="1:16" x14ac:dyDescent="0.25">
      <c r="A20">
        <v>1.3201156605408806</v>
      </c>
      <c r="B20">
        <v>1.1399202281037677</v>
      </c>
      <c r="C20">
        <v>1.5996917697964792</v>
      </c>
      <c r="D20">
        <v>1.2928727815817929</v>
      </c>
      <c r="E20">
        <v>-2.9170775640680047E-2</v>
      </c>
      <c r="G20" s="8">
        <v>-3.2107190868362228</v>
      </c>
      <c r="H20" s="8">
        <v>1.1685703403803569</v>
      </c>
      <c r="I20" s="8">
        <v>1.6614502415251473</v>
      </c>
      <c r="J20" s="8">
        <v>0.1083621545814567</v>
      </c>
      <c r="K20" s="8">
        <v>0.10948699402998957</v>
      </c>
      <c r="L20" s="38">
        <f t="shared" si="1"/>
        <v>9.9137963413260399E-6</v>
      </c>
      <c r="M20" s="38">
        <f t="shared" si="2"/>
        <v>1.5679198843823653E-5</v>
      </c>
      <c r="N20" s="38">
        <f t="shared" si="3"/>
        <v>-1.9999944766828577</v>
      </c>
      <c r="O20" s="38">
        <f t="shared" si="4"/>
        <v>4.5995087135054498E-4</v>
      </c>
      <c r="P20" s="38">
        <f t="shared" si="5"/>
        <v>-1.9996971233739278</v>
      </c>
    </row>
    <row r="21" spans="1:16" x14ac:dyDescent="0.25">
      <c r="A21">
        <v>2.6470041716816022</v>
      </c>
      <c r="B21">
        <v>0.30148155659057169</v>
      </c>
      <c r="C21">
        <v>0.83050201394856771</v>
      </c>
      <c r="D21">
        <v>0.27752285556683187</v>
      </c>
      <c r="E21">
        <v>-0.94227327236240788</v>
      </c>
      <c r="G21" s="8">
        <v>1.3201229338366205</v>
      </c>
      <c r="H21" s="8">
        <v>1.1398920544128206</v>
      </c>
      <c r="I21" s="8">
        <v>-1.5994867711328238</v>
      </c>
      <c r="J21" s="8">
        <v>1.2929025617451197</v>
      </c>
      <c r="K21" s="8">
        <v>2.9169875758370989E-2</v>
      </c>
      <c r="L21" s="38">
        <f t="shared" si="1"/>
        <v>-5.5095594156286505E-6</v>
      </c>
      <c r="M21" s="38">
        <f t="shared" si="2"/>
        <v>2.4716104334642747E-5</v>
      </c>
      <c r="N21" s="38">
        <f t="shared" si="3"/>
        <v>-2.0001281652761094</v>
      </c>
      <c r="O21" s="38">
        <f t="shared" si="4"/>
        <v>-2.3033571289928051E-5</v>
      </c>
      <c r="P21" s="38">
        <f t="shared" si="5"/>
        <v>-2.0000308497134687</v>
      </c>
    </row>
    <row r="22" spans="1:16" x14ac:dyDescent="0.25">
      <c r="A22">
        <v>0.6127536861784455</v>
      </c>
      <c r="B22">
        <v>0.4231291461190454</v>
      </c>
      <c r="C22">
        <v>-1.1231011437756857</v>
      </c>
      <c r="D22">
        <v>-1.2716531625341545</v>
      </c>
      <c r="E22">
        <v>-0.42680972498477593</v>
      </c>
      <c r="G22" s="8">
        <v>2.647014787768506</v>
      </c>
      <c r="H22" s="8">
        <v>0.30150229325919209</v>
      </c>
      <c r="I22" s="8">
        <v>-0.83055257559354434</v>
      </c>
      <c r="J22" s="8">
        <v>0.27753916636010562</v>
      </c>
      <c r="K22" s="8">
        <v>0.94228935513894352</v>
      </c>
      <c r="L22" s="38">
        <f t="shared" si="1"/>
        <v>-4.01058843828009E-6</v>
      </c>
      <c r="M22" s="38">
        <f t="shared" si="2"/>
        <v>-6.8777813913925361E-5</v>
      </c>
      <c r="N22" s="38">
        <f t="shared" si="3"/>
        <v>-1.9999391228846164</v>
      </c>
      <c r="O22" s="38">
        <f t="shared" si="4"/>
        <v>-5.8769338712290724E-5</v>
      </c>
      <c r="P22" s="38">
        <f t="shared" si="5"/>
        <v>-1.9999829322315401</v>
      </c>
    </row>
    <row r="23" spans="1:16" x14ac:dyDescent="0.25">
      <c r="A23">
        <v>0.61547220296553284</v>
      </c>
      <c r="B23">
        <v>2.42357727396453</v>
      </c>
      <c r="C23">
        <v>-0.69895712339390514</v>
      </c>
      <c r="D23">
        <v>1.9943788806317215</v>
      </c>
      <c r="E23">
        <v>0.61204485407544629</v>
      </c>
      <c r="G23" s="8">
        <v>0.61274487821579249</v>
      </c>
      <c r="H23" s="8">
        <v>0.42315093612606408</v>
      </c>
      <c r="I23" s="8">
        <v>1.1229977612571729</v>
      </c>
      <c r="J23" s="8">
        <v>-1.2718659053139527</v>
      </c>
      <c r="K23" s="8">
        <v>0.42689086428037781</v>
      </c>
      <c r="L23" s="38">
        <f t="shared" si="1"/>
        <v>1.4374600206630358E-5</v>
      </c>
      <c r="M23" s="38">
        <f t="shared" si="2"/>
        <v>-5.1494644483530852E-5</v>
      </c>
      <c r="N23" s="38">
        <f t="shared" si="3"/>
        <v>-2.0000920594163936</v>
      </c>
      <c r="O23" s="38">
        <f t="shared" si="4"/>
        <v>-1.6726824652611445E-4</v>
      </c>
      <c r="P23" s="38">
        <f t="shared" si="5"/>
        <v>-1.9998099296508987</v>
      </c>
    </row>
    <row r="24" spans="1:16" x14ac:dyDescent="0.25">
      <c r="A24">
        <v>2.3518610459626177</v>
      </c>
      <c r="B24">
        <v>-1.6735409314026657</v>
      </c>
      <c r="C24">
        <v>-0.29305265226800298</v>
      </c>
      <c r="D24">
        <v>-0.20721160407004624</v>
      </c>
      <c r="E24">
        <v>0.73739833956560874</v>
      </c>
      <c r="G24" s="8">
        <v>0.6155249154263881</v>
      </c>
      <c r="H24" s="8">
        <v>2.423526973855807</v>
      </c>
      <c r="I24" s="8">
        <v>0.69921488719999214</v>
      </c>
      <c r="J24" s="8">
        <v>1.9944225496141166</v>
      </c>
      <c r="K24" s="8">
        <v>-0.61194740311102314</v>
      </c>
      <c r="L24" s="38">
        <f t="shared" si="1"/>
        <v>-8.5638224439278857E-5</v>
      </c>
      <c r="M24" s="38">
        <f t="shared" si="2"/>
        <v>2.0754920108465823E-5</v>
      </c>
      <c r="N24" s="38">
        <f t="shared" si="3"/>
        <v>-1.9996313525200826</v>
      </c>
      <c r="O24" s="38">
        <f t="shared" si="4"/>
        <v>-2.1895551874651656E-5</v>
      </c>
      <c r="P24" s="38">
        <f t="shared" si="5"/>
        <v>-2.0001592472881291</v>
      </c>
    </row>
    <row r="25" spans="1:16" x14ac:dyDescent="0.25">
      <c r="A25">
        <v>-2.1597956405783041</v>
      </c>
      <c r="B25">
        <v>-2.2304438262277659</v>
      </c>
      <c r="C25">
        <v>-2.0677919233480861</v>
      </c>
      <c r="D25">
        <v>-1.5063775377593034</v>
      </c>
      <c r="E25">
        <v>0.44254833553948625</v>
      </c>
      <c r="G25" s="8">
        <v>2.3518502580851983</v>
      </c>
      <c r="H25" s="8">
        <v>-1.6735407677305396</v>
      </c>
      <c r="I25" s="8">
        <v>0.29298272841695261</v>
      </c>
      <c r="J25" s="8">
        <v>-0.20719203701511957</v>
      </c>
      <c r="K25" s="8">
        <v>-0.73730902595774672</v>
      </c>
      <c r="L25" s="38">
        <f t="shared" si="1"/>
        <v>4.5869746095802159E-6</v>
      </c>
      <c r="M25" s="38">
        <f t="shared" si="2"/>
        <v>9.7799903791074531E-8</v>
      </c>
      <c r="N25" s="38">
        <f t="shared" si="3"/>
        <v>-2.0002386620243051</v>
      </c>
      <c r="O25" s="38">
        <f t="shared" si="4"/>
        <v>9.4439222706442882E-5</v>
      </c>
      <c r="P25" s="38">
        <f t="shared" si="5"/>
        <v>-2.0001211345646368</v>
      </c>
    </row>
    <row r="26" spans="1:16" x14ac:dyDescent="0.25">
      <c r="A26">
        <v>0.23917729356431572</v>
      </c>
      <c r="B26">
        <v>1.3790831511723876</v>
      </c>
      <c r="C26">
        <v>-0.44142053333427894</v>
      </c>
      <c r="D26">
        <v>-0.38322168552870572</v>
      </c>
      <c r="E26">
        <v>3.2423181357548438</v>
      </c>
      <c r="G26" s="8">
        <v>-2.1598117343385588</v>
      </c>
      <c r="H26" s="8">
        <v>-2.2304360075441476</v>
      </c>
      <c r="I26" s="8">
        <v>2.0676648353144715</v>
      </c>
      <c r="J26" s="8">
        <v>-1.5066129674257847</v>
      </c>
      <c r="K26" s="8">
        <v>-0.44243038087298581</v>
      </c>
      <c r="L26" s="38">
        <f t="shared" si="1"/>
        <v>-7.4514644025749058E-6</v>
      </c>
      <c r="M26" s="38">
        <f t="shared" si="2"/>
        <v>3.5054507692109296E-6</v>
      </c>
      <c r="N26" s="38">
        <f t="shared" si="3"/>
        <v>-2.0000614645233812</v>
      </c>
      <c r="O26" s="38">
        <f t="shared" si="4"/>
        <v>-1.5626419762171964E-4</v>
      </c>
      <c r="P26" s="38">
        <f t="shared" si="5"/>
        <v>-2.0002666061635903</v>
      </c>
    </row>
    <row r="27" spans="1:16" x14ac:dyDescent="0.25">
      <c r="A27">
        <v>0.92783079512645295</v>
      </c>
      <c r="B27">
        <v>-1.1581902281304082</v>
      </c>
      <c r="C27">
        <v>0.24061338768431406</v>
      </c>
      <c r="D27">
        <v>4.815409642315073E-2</v>
      </c>
      <c r="E27">
        <v>-0.17118613866232604</v>
      </c>
      <c r="G27" s="8">
        <v>0.23920036591676241</v>
      </c>
      <c r="H27" s="8">
        <v>1.3790246719379518</v>
      </c>
      <c r="I27" s="8">
        <v>0.44161859646047824</v>
      </c>
      <c r="J27" s="8">
        <v>-0.38314976834381148</v>
      </c>
      <c r="K27" s="8">
        <v>-3.2423031789439696</v>
      </c>
      <c r="L27" s="38">
        <f t="shared" si="1"/>
        <v>-9.6456175383630429E-5</v>
      </c>
      <c r="M27" s="38">
        <f t="shared" si="2"/>
        <v>4.2406227840451218E-5</v>
      </c>
      <c r="N27" s="38">
        <f t="shared" si="3"/>
        <v>-1.9995515063727236</v>
      </c>
      <c r="O27" s="38">
        <f t="shared" si="4"/>
        <v>1.8769993051309924E-4</v>
      </c>
      <c r="P27" s="38">
        <f t="shared" si="5"/>
        <v>-2.0000046130204514</v>
      </c>
    </row>
    <row r="28" spans="1:16" x14ac:dyDescent="0.25">
      <c r="A28">
        <v>2.0284369846595536</v>
      </c>
      <c r="B28">
        <v>-0.58643366232335592</v>
      </c>
      <c r="C28">
        <v>-2.2254681216075638</v>
      </c>
      <c r="D28">
        <v>1.1620270233731416</v>
      </c>
      <c r="E28">
        <v>0.17709783476543603</v>
      </c>
      <c r="G28" s="8">
        <v>0.92780961279118712</v>
      </c>
      <c r="H28" s="8">
        <v>-1.1581703037618822</v>
      </c>
      <c r="I28" s="8">
        <v>-0.24058004314183204</v>
      </c>
      <c r="J28" s="8">
        <v>4.8030018673015977E-2</v>
      </c>
      <c r="K28" s="8">
        <v>0.17123138399114252</v>
      </c>
      <c r="L28" s="38">
        <f t="shared" si="1"/>
        <v>2.2830476181529798E-5</v>
      </c>
      <c r="M28" s="38">
        <f t="shared" si="2"/>
        <v>1.7203314971226287E-5</v>
      </c>
      <c r="N28" s="38">
        <f t="shared" si="3"/>
        <v>-2.0001386006172686</v>
      </c>
      <c r="O28" s="38">
        <f t="shared" si="4"/>
        <v>2.5833375368738299E-3</v>
      </c>
      <c r="P28" s="38">
        <f t="shared" si="5"/>
        <v>-1.9997357649762453</v>
      </c>
    </row>
    <row r="29" spans="1:16" x14ac:dyDescent="0.25">
      <c r="A29">
        <v>-2.5558493901450947</v>
      </c>
      <c r="B29">
        <v>-0.36029658812530729</v>
      </c>
      <c r="C29">
        <v>0.45814790731876309</v>
      </c>
      <c r="D29">
        <v>2.9079533911101758</v>
      </c>
      <c r="E29">
        <v>-7.2246251350108676E-2</v>
      </c>
      <c r="G29" s="8">
        <v>2.028480637815262</v>
      </c>
      <c r="H29" s="8">
        <v>-0.58651623885434556</v>
      </c>
      <c r="I29" s="8">
        <v>2.2255660341280556</v>
      </c>
      <c r="J29" s="8">
        <v>1.1617503657104669</v>
      </c>
      <c r="K29" s="8">
        <v>-0.17687686582375517</v>
      </c>
      <c r="L29" s="38">
        <f t="shared" si="1"/>
        <v>-2.1520124419545271E-5</v>
      </c>
      <c r="M29" s="38">
        <f t="shared" si="2"/>
        <v>-1.4079155105908148E-4</v>
      </c>
      <c r="N29" s="38">
        <f t="shared" si="3"/>
        <v>-1.9999560055648811</v>
      </c>
      <c r="O29" s="38">
        <f t="shared" si="4"/>
        <v>2.3813864909396157E-4</v>
      </c>
      <c r="P29" s="38">
        <f t="shared" si="5"/>
        <v>-2.0012492811914764</v>
      </c>
    </row>
    <row r="30" spans="1:16" x14ac:dyDescent="0.25">
      <c r="A30">
        <v>2.3274226788621832</v>
      </c>
      <c r="B30">
        <v>-3.2189118082580896</v>
      </c>
      <c r="C30">
        <v>0.91695061087972196</v>
      </c>
      <c r="D30">
        <v>-0.96174476782493756</v>
      </c>
      <c r="E30">
        <v>0.55148484917752005</v>
      </c>
      <c r="G30" s="8">
        <v>-2.5558392416922562</v>
      </c>
      <c r="H30" s="8">
        <v>-0.36029912608161185</v>
      </c>
      <c r="I30" s="8">
        <v>-0.45779574410179497</v>
      </c>
      <c r="J30" s="8">
        <v>2.9079746771435495</v>
      </c>
      <c r="K30" s="8">
        <v>7.2275586274861692E-2</v>
      </c>
      <c r="L30" s="38">
        <f t="shared" si="1"/>
        <v>3.9706929422574412E-6</v>
      </c>
      <c r="M30" s="38">
        <f t="shared" si="2"/>
        <v>-7.0440257020921615E-6</v>
      </c>
      <c r="N30" s="38">
        <f t="shared" si="3"/>
        <v>-2.0007692583898069</v>
      </c>
      <c r="O30" s="38">
        <f t="shared" si="4"/>
        <v>-7.3198826458182309E-6</v>
      </c>
      <c r="P30" s="38">
        <f t="shared" si="5"/>
        <v>-1.9995941240152455</v>
      </c>
    </row>
    <row r="31" spans="1:16" x14ac:dyDescent="0.25">
      <c r="F31" s="26"/>
      <c r="G31" s="8">
        <v>2.327374762550944</v>
      </c>
      <c r="H31" s="8">
        <v>-3.2188655928588084</v>
      </c>
      <c r="I31" s="8">
        <v>-0.91707824264224769</v>
      </c>
      <c r="J31" s="8">
        <v>-0.96176372491821049</v>
      </c>
      <c r="K31" s="8">
        <v>-0.55144683490352819</v>
      </c>
      <c r="L31" s="38">
        <f t="shared" si="1"/>
        <v>2.0588137334065872E-5</v>
      </c>
      <c r="M31" s="38">
        <f t="shared" si="2"/>
        <v>1.4357666683511628E-5</v>
      </c>
      <c r="N31" s="38">
        <f t="shared" si="3"/>
        <v>-1.9998608278371559</v>
      </c>
      <c r="O31" s="38">
        <f t="shared" si="4"/>
        <v>-1.971075928710368E-5</v>
      </c>
      <c r="P31" s="38">
        <f t="shared" si="5"/>
        <v>-2.000068935519411</v>
      </c>
    </row>
    <row r="32" spans="1:16" x14ac:dyDescent="0.25">
      <c r="A32" t="s">
        <v>55</v>
      </c>
    </row>
  </sheetData>
  <mergeCells count="2">
    <mergeCell ref="G1:K1"/>
    <mergeCell ref="L1:P1"/>
  </mergeCells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3805-FB46-4AF2-9AF0-B355F703217B}">
  <dimension ref="A1:I34"/>
  <sheetViews>
    <sheetView workbookViewId="0">
      <selection activeCell="J11" sqref="J11"/>
    </sheetView>
  </sheetViews>
  <sheetFormatPr defaultRowHeight="15" x14ac:dyDescent="0.25"/>
  <cols>
    <col min="1" max="1" width="20.42578125" bestFit="1" customWidth="1"/>
    <col min="8" max="8" width="9.140625" style="2"/>
  </cols>
  <sheetData>
    <row r="1" spans="1:9" x14ac:dyDescent="0.25">
      <c r="B1" s="33" t="s">
        <v>33</v>
      </c>
      <c r="C1" s="33"/>
      <c r="D1" s="33"/>
      <c r="E1" s="33"/>
      <c r="F1" s="33"/>
    </row>
    <row r="2" spans="1:9" x14ac:dyDescent="0.25">
      <c r="A2" s="8" t="s">
        <v>0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H2" s="2" t="s">
        <v>36</v>
      </c>
      <c r="I2" s="23" t="s">
        <v>60</v>
      </c>
    </row>
    <row r="3" spans="1:9" x14ac:dyDescent="0.25">
      <c r="A3" s="8">
        <v>1</v>
      </c>
      <c r="B3" s="8" cm="1">
        <f t="array" ref="B3:F32">MMULT(SPE!I3:U32,'V - Eiegenvectors'!A1:E13)</f>
        <v>0.28713648683098936</v>
      </c>
      <c r="C3" s="8">
        <v>0.20904420008749627</v>
      </c>
      <c r="D3" s="8">
        <v>-0.76747797604159429</v>
      </c>
      <c r="E3" s="8">
        <v>-0.63956355253342445</v>
      </c>
      <c r="F3" s="8">
        <v>-0.55989728749698298</v>
      </c>
      <c r="H3" s="2">
        <f>(B3^2)/$B$34+(C3^2)/$C$34+(D3^2)/$D$34+(E3^2)/$E$34+(F3^2)/$F$34</f>
        <v>0.99523556796093648</v>
      </c>
    </row>
    <row r="4" spans="1:9" x14ac:dyDescent="0.25">
      <c r="A4" s="8">
        <v>2</v>
      </c>
      <c r="B4" s="8">
        <v>-1.7601663630540929</v>
      </c>
      <c r="C4" s="8">
        <v>1.824174100242709</v>
      </c>
      <c r="D4" s="8">
        <v>-1.8558121868913993</v>
      </c>
      <c r="E4" s="8">
        <v>-0.35215202653782302</v>
      </c>
      <c r="F4" s="8">
        <v>-0.12107972205105105</v>
      </c>
      <c r="H4" s="2">
        <f t="shared" ref="H4:H32" si="0">(B4^2)/$B$34+(C4^2)/$C$34+(D4^2)/$D$34+(E4^2)/$E$34+(F4^2)/$F$34</f>
        <v>4.5541812163625499</v>
      </c>
    </row>
    <row r="5" spans="1:9" x14ac:dyDescent="0.25">
      <c r="A5" s="8">
        <v>3</v>
      </c>
      <c r="B5" s="8">
        <v>3.9918259701936631</v>
      </c>
      <c r="C5" s="8">
        <v>-1.3915509847766545</v>
      </c>
      <c r="D5" s="8">
        <v>-1.4071529971061905</v>
      </c>
      <c r="E5" s="8">
        <v>1.2713432690359019</v>
      </c>
      <c r="F5" s="8">
        <v>0.45256947396198177</v>
      </c>
      <c r="H5" s="2">
        <f t="shared" si="0"/>
        <v>7.458423429582826</v>
      </c>
    </row>
    <row r="6" spans="1:9" x14ac:dyDescent="0.25">
      <c r="A6" s="8">
        <v>4</v>
      </c>
      <c r="B6" s="8">
        <v>-4.1726498234292571</v>
      </c>
      <c r="C6" s="8">
        <v>-1.5915643145019671</v>
      </c>
      <c r="D6" s="8">
        <v>-1.3179876642302606</v>
      </c>
      <c r="E6" s="8">
        <v>-9.2356993820939481E-2</v>
      </c>
      <c r="F6" s="8">
        <v>1.2544524537402539</v>
      </c>
      <c r="H6" s="2">
        <f t="shared" si="0"/>
        <v>7.9314141431340328</v>
      </c>
    </row>
    <row r="7" spans="1:9" x14ac:dyDescent="0.25">
      <c r="A7" s="8">
        <v>5</v>
      </c>
      <c r="B7" s="8">
        <v>0.25652686405783992</v>
      </c>
      <c r="C7" s="8">
        <v>-2.2554412083468023</v>
      </c>
      <c r="D7" s="8">
        <v>0.75425758935008413</v>
      </c>
      <c r="E7" s="8">
        <v>1.941374359025767</v>
      </c>
      <c r="F7" s="8">
        <v>-0.59771136522328128</v>
      </c>
      <c r="H7" s="2">
        <f t="shared" si="0"/>
        <v>5.8912729481982575</v>
      </c>
    </row>
    <row r="8" spans="1:9" x14ac:dyDescent="0.25">
      <c r="A8" s="8">
        <v>6</v>
      </c>
      <c r="B8" s="8">
        <v>-2.5054914144018636</v>
      </c>
      <c r="C8" s="8">
        <v>-2.3941859676071942</v>
      </c>
      <c r="D8" s="8">
        <v>0.40756121957255137</v>
      </c>
      <c r="E8" s="8">
        <v>1.0811806365076424</v>
      </c>
      <c r="F8" s="8">
        <v>-1.1705754443717993</v>
      </c>
      <c r="H8" s="2">
        <f t="shared" si="0"/>
        <v>6.3853764551311807</v>
      </c>
    </row>
    <row r="9" spans="1:9" x14ac:dyDescent="0.25">
      <c r="A9" s="8">
        <v>7</v>
      </c>
      <c r="B9" s="8">
        <v>-1.1794190112852077</v>
      </c>
      <c r="C9" s="8">
        <v>-0.38732282312655547</v>
      </c>
      <c r="D9" s="8">
        <v>1.8296619311654791</v>
      </c>
      <c r="E9" s="8">
        <v>-0.83920366645837252</v>
      </c>
      <c r="F9" s="8">
        <v>0.60412868690745614</v>
      </c>
      <c r="H9" s="2">
        <f t="shared" si="0"/>
        <v>3.358971705044409</v>
      </c>
    </row>
    <row r="10" spans="1:9" x14ac:dyDescent="0.25">
      <c r="A10" s="8">
        <v>8</v>
      </c>
      <c r="B10" s="8">
        <v>-3.8634948937306957E-2</v>
      </c>
      <c r="C10" s="8">
        <v>1.3938357981395084</v>
      </c>
      <c r="D10" s="8">
        <v>1.0835262780320658</v>
      </c>
      <c r="E10" s="8">
        <v>-0.8314333130399113</v>
      </c>
      <c r="F10" s="8">
        <v>0.77371345797308977</v>
      </c>
      <c r="H10" s="2">
        <f t="shared" si="0"/>
        <v>2.6814143653804008</v>
      </c>
    </row>
    <row r="11" spans="1:9" x14ac:dyDescent="0.25">
      <c r="A11" s="8">
        <v>9</v>
      </c>
      <c r="B11" s="8">
        <v>0.724038726017599</v>
      </c>
      <c r="C11" s="8">
        <v>0.50246391929210876</v>
      </c>
      <c r="D11" s="8">
        <v>-2.7191679360759988E-2</v>
      </c>
      <c r="E11" s="8">
        <v>-2.0683002006031388</v>
      </c>
      <c r="F11" s="8">
        <v>-1.3445175630093176</v>
      </c>
      <c r="H11" s="2">
        <f t="shared" si="0"/>
        <v>5.086734206800628</v>
      </c>
    </row>
    <row r="12" spans="1:9" x14ac:dyDescent="0.25">
      <c r="A12" s="8">
        <v>10</v>
      </c>
      <c r="B12" s="8">
        <v>0.34368116315465402</v>
      </c>
      <c r="C12" s="8">
        <v>1.071801882007783</v>
      </c>
      <c r="D12" s="8">
        <v>-1.223213973485217</v>
      </c>
      <c r="E12" s="8">
        <v>0.49093013950535208</v>
      </c>
      <c r="F12" s="8">
        <v>-2.0331996947256417</v>
      </c>
      <c r="H12" s="2">
        <f t="shared" si="0"/>
        <v>5.3207315529940278</v>
      </c>
    </row>
    <row r="13" spans="1:9" x14ac:dyDescent="0.25">
      <c r="A13" s="8">
        <v>11</v>
      </c>
      <c r="B13" s="8">
        <v>-2.2641138064147159</v>
      </c>
      <c r="C13" s="8">
        <v>3.530047344045055E-2</v>
      </c>
      <c r="D13" s="8">
        <v>1.2529624865041986</v>
      </c>
      <c r="E13" s="8">
        <v>0.1313933893746462</v>
      </c>
      <c r="F13" s="8">
        <v>0.95386605146689585</v>
      </c>
      <c r="H13" s="2">
        <f t="shared" si="0"/>
        <v>3.0582124543128186</v>
      </c>
    </row>
    <row r="14" spans="1:9" x14ac:dyDescent="0.25">
      <c r="A14" s="8">
        <v>12</v>
      </c>
      <c r="B14" s="8">
        <v>-0.23698504045603749</v>
      </c>
      <c r="C14" s="8">
        <v>0.60813195873775716</v>
      </c>
      <c r="D14" s="8">
        <v>-0.49775231397058628</v>
      </c>
      <c r="E14" s="8">
        <v>-0.71347430318098259</v>
      </c>
      <c r="F14" s="8">
        <v>-2.4347154735148178</v>
      </c>
      <c r="H14" s="2">
        <f t="shared" si="0"/>
        <v>5.9518211912703247</v>
      </c>
    </row>
    <row r="15" spans="1:9" x14ac:dyDescent="0.25">
      <c r="A15" s="8">
        <v>13</v>
      </c>
      <c r="B15" s="8">
        <v>-2.9155947844005863</v>
      </c>
      <c r="C15" s="8">
        <v>1.2012079290999684</v>
      </c>
      <c r="D15" s="8">
        <v>1.8674604183922434</v>
      </c>
      <c r="E15" s="8">
        <v>-0.34471637651897469</v>
      </c>
      <c r="F15" s="8">
        <v>-0.33307762946348463</v>
      </c>
      <c r="H15" s="2">
        <f t="shared" si="0"/>
        <v>5.1234905307178975</v>
      </c>
    </row>
    <row r="16" spans="1:9" x14ac:dyDescent="0.25">
      <c r="A16" s="8">
        <v>14</v>
      </c>
      <c r="B16" s="8">
        <v>1.7211595723980988</v>
      </c>
      <c r="C16" s="8">
        <v>2.2456858077802702</v>
      </c>
      <c r="D16" s="8">
        <v>0.95163640329785593</v>
      </c>
      <c r="E16" s="8">
        <v>0.60549267205527513</v>
      </c>
      <c r="F16" s="8">
        <v>-0.15740258346417757</v>
      </c>
      <c r="H16" s="2">
        <f t="shared" si="0"/>
        <v>3.9186363636122601</v>
      </c>
    </row>
    <row r="17" spans="1:8" x14ac:dyDescent="0.25">
      <c r="A17" s="8">
        <v>15</v>
      </c>
      <c r="B17" s="8">
        <v>-0.45665119076582278</v>
      </c>
      <c r="C17" s="8">
        <v>1.1799290237928757</v>
      </c>
      <c r="D17" s="8">
        <v>0.31648517034384149</v>
      </c>
      <c r="E17" s="8">
        <v>-0.30108832884625236</v>
      </c>
      <c r="F17" s="8">
        <v>-4.7888347354055325E-2</v>
      </c>
      <c r="H17" s="2">
        <f t="shared" si="0"/>
        <v>0.82622090848001806</v>
      </c>
    </row>
    <row r="18" spans="1:8" x14ac:dyDescent="0.25">
      <c r="A18" s="8">
        <v>16</v>
      </c>
      <c r="B18" s="8">
        <v>0.70402045217853737</v>
      </c>
      <c r="C18" s="8">
        <v>-0.53321344544677318</v>
      </c>
      <c r="D18" s="8">
        <v>1.0013888596035956</v>
      </c>
      <c r="E18" s="8">
        <v>-1.6644224735619499</v>
      </c>
      <c r="F18" s="8">
        <v>-0.76237958924850235</v>
      </c>
      <c r="H18" s="2">
        <f t="shared" si="0"/>
        <v>3.4946131267964451</v>
      </c>
    </row>
    <row r="19" spans="1:8" x14ac:dyDescent="0.25">
      <c r="A19" s="8">
        <v>17</v>
      </c>
      <c r="B19" s="8">
        <v>-0.52465905868759122</v>
      </c>
      <c r="C19" s="8">
        <v>-0.48869408003843873</v>
      </c>
      <c r="D19" s="8">
        <v>2.4683341208406357</v>
      </c>
      <c r="E19" s="8">
        <v>-0.31237138420423238</v>
      </c>
      <c r="F19" s="8">
        <v>0.32475191703998452</v>
      </c>
      <c r="H19" s="2">
        <f t="shared" si="0"/>
        <v>4.1506534114966067</v>
      </c>
    </row>
    <row r="20" spans="1:8" x14ac:dyDescent="0.25">
      <c r="A20" s="8">
        <v>18</v>
      </c>
      <c r="B20" s="8">
        <v>2.8822976354347931</v>
      </c>
      <c r="C20" s="8">
        <v>1.1624347571150466</v>
      </c>
      <c r="D20" s="8">
        <v>-0.3713588131081984</v>
      </c>
      <c r="E20" s="8">
        <v>-0.8237441130185954</v>
      </c>
      <c r="F20" s="8">
        <v>1.1872103059329748</v>
      </c>
      <c r="H20" s="2">
        <f t="shared" si="0"/>
        <v>4.5112071713720763</v>
      </c>
    </row>
    <row r="21" spans="1:8" x14ac:dyDescent="0.25">
      <c r="A21" s="8">
        <v>19</v>
      </c>
      <c r="B21" s="8">
        <v>-3.2107509172513589</v>
      </c>
      <c r="C21" s="8">
        <v>1.1685886626270867</v>
      </c>
      <c r="D21" s="8">
        <v>-1.6614410648085471</v>
      </c>
      <c r="E21" s="8">
        <v>0.10841199584887787</v>
      </c>
      <c r="F21" s="8">
        <v>-0.10945383297863898</v>
      </c>
      <c r="H21" s="2">
        <f t="shared" si="0"/>
        <v>4.9102545368992265</v>
      </c>
    </row>
    <row r="22" spans="1:8" x14ac:dyDescent="0.25">
      <c r="A22" s="8">
        <v>20</v>
      </c>
      <c r="B22" s="8">
        <v>1.3201156605408806</v>
      </c>
      <c r="C22" s="8">
        <v>1.1399202281037677</v>
      </c>
      <c r="D22" s="8">
        <v>1.5996917697964792</v>
      </c>
      <c r="E22" s="8">
        <v>1.2928727815817929</v>
      </c>
      <c r="F22" s="8">
        <v>-2.9170775640680047E-2</v>
      </c>
      <c r="H22" s="2">
        <f t="shared" si="0"/>
        <v>3.8956543913164299</v>
      </c>
    </row>
    <row r="23" spans="1:8" x14ac:dyDescent="0.25">
      <c r="A23" s="8">
        <v>21</v>
      </c>
      <c r="B23" s="8">
        <v>2.6470041716816022</v>
      </c>
      <c r="C23" s="8">
        <v>0.30148155659057169</v>
      </c>
      <c r="D23" s="8">
        <v>0.83050201394856771</v>
      </c>
      <c r="E23" s="8">
        <v>0.27752285556683187</v>
      </c>
      <c r="F23" s="8">
        <v>-0.94227327236240788</v>
      </c>
      <c r="H23" s="2">
        <f t="shared" si="0"/>
        <v>3.0384988044024444</v>
      </c>
    </row>
    <row r="24" spans="1:8" x14ac:dyDescent="0.25">
      <c r="A24" s="8">
        <v>22</v>
      </c>
      <c r="B24" s="8">
        <v>0.6127536861784455</v>
      </c>
      <c r="C24" s="8">
        <v>0.4231291461190454</v>
      </c>
      <c r="D24" s="8">
        <v>-1.1231011437756857</v>
      </c>
      <c r="E24" s="8">
        <v>-1.2716531625341545</v>
      </c>
      <c r="F24" s="8">
        <v>-0.42680972498477593</v>
      </c>
      <c r="H24" s="2">
        <f t="shared" si="0"/>
        <v>2.3508791342109414</v>
      </c>
    </row>
    <row r="25" spans="1:8" x14ac:dyDescent="0.25">
      <c r="A25" s="8">
        <v>23</v>
      </c>
      <c r="B25" s="8">
        <v>0.61547220296553284</v>
      </c>
      <c r="C25" s="8">
        <v>2.42357727396453</v>
      </c>
      <c r="D25" s="8">
        <v>-0.69895712339390514</v>
      </c>
      <c r="E25" s="8">
        <v>1.9943788806317215</v>
      </c>
      <c r="F25" s="8">
        <v>0.61204485407544629</v>
      </c>
      <c r="H25" s="2">
        <f t="shared" si="0"/>
        <v>6.4542365676893549</v>
      </c>
    </row>
    <row r="26" spans="1:8" x14ac:dyDescent="0.25">
      <c r="A26" s="8">
        <v>24</v>
      </c>
      <c r="B26" s="8">
        <v>2.3518610459626177</v>
      </c>
      <c r="C26" s="8">
        <v>-1.6735409314026657</v>
      </c>
      <c r="D26" s="8">
        <v>-0.29305265226800298</v>
      </c>
      <c r="E26" s="8">
        <v>-0.20721160407004624</v>
      </c>
      <c r="F26" s="8">
        <v>0.73739833956560874</v>
      </c>
      <c r="H26" s="2">
        <f t="shared" si="0"/>
        <v>3.2175130561553495</v>
      </c>
    </row>
    <row r="27" spans="1:8" x14ac:dyDescent="0.25">
      <c r="A27" s="8">
        <v>25</v>
      </c>
      <c r="B27" s="8">
        <v>-2.1597956405783041</v>
      </c>
      <c r="C27" s="8">
        <v>-2.2304438262277659</v>
      </c>
      <c r="D27" s="8">
        <v>-2.0677919233480861</v>
      </c>
      <c r="E27" s="8">
        <v>-1.5063775377593034</v>
      </c>
      <c r="F27" s="8">
        <v>0.44254833553948625</v>
      </c>
      <c r="H27" s="2">
        <f t="shared" si="0"/>
        <v>8.0063103285996284</v>
      </c>
    </row>
    <row r="28" spans="1:8" x14ac:dyDescent="0.25">
      <c r="A28" s="8">
        <v>26</v>
      </c>
      <c r="B28" s="8">
        <v>0.23917729356431572</v>
      </c>
      <c r="C28" s="8">
        <v>1.3790831511723876</v>
      </c>
      <c r="D28" s="8">
        <v>-0.44142053333427894</v>
      </c>
      <c r="E28" s="8">
        <v>-0.38322168552870572</v>
      </c>
      <c r="F28" s="8">
        <v>3.2423181357548438</v>
      </c>
      <c r="H28" s="2">
        <f t="shared" si="0"/>
        <v>10.392340039944472</v>
      </c>
    </row>
    <row r="29" spans="1:8" x14ac:dyDescent="0.25">
      <c r="A29" s="8">
        <v>27</v>
      </c>
      <c r="B29" s="8">
        <v>0.92783079512645295</v>
      </c>
      <c r="C29" s="8">
        <v>-1.1581902281304082</v>
      </c>
      <c r="D29" s="8">
        <v>0.24061338768431406</v>
      </c>
      <c r="E29" s="8">
        <v>4.815409642315073E-2</v>
      </c>
      <c r="F29" s="8">
        <v>-0.17118613866232604</v>
      </c>
      <c r="H29" s="2">
        <f t="shared" si="0"/>
        <v>0.89371864759190622</v>
      </c>
    </row>
    <row r="30" spans="1:8" x14ac:dyDescent="0.25">
      <c r="A30" s="8">
        <v>28</v>
      </c>
      <c r="B30" s="8">
        <v>2.0284369846595536</v>
      </c>
      <c r="C30" s="8">
        <v>-0.58643366232335592</v>
      </c>
      <c r="D30" s="8">
        <v>-2.2254681216075638</v>
      </c>
      <c r="E30" s="8">
        <v>1.1620270233731416</v>
      </c>
      <c r="F30" s="8">
        <v>0.17709783476543603</v>
      </c>
      <c r="H30" s="2">
        <f t="shared" si="0"/>
        <v>5.3174683579676971</v>
      </c>
    </row>
    <row r="31" spans="1:8" x14ac:dyDescent="0.25">
      <c r="A31" s="8">
        <v>29</v>
      </c>
      <c r="B31" s="8">
        <v>-2.5558493901450947</v>
      </c>
      <c r="C31" s="8">
        <v>-0.36029658812530729</v>
      </c>
      <c r="D31" s="8">
        <v>0.45814790731876309</v>
      </c>
      <c r="E31" s="8">
        <v>2.9079533911101758</v>
      </c>
      <c r="F31" s="8">
        <v>-7.2246251350108676E-2</v>
      </c>
      <c r="H31" s="2">
        <f t="shared" si="0"/>
        <v>8.2219062633006619</v>
      </c>
    </row>
    <row r="32" spans="1:8" x14ac:dyDescent="0.25">
      <c r="A32" s="8">
        <v>30</v>
      </c>
      <c r="B32" s="8">
        <v>2.3274226788621832</v>
      </c>
      <c r="C32" s="8">
        <v>-3.2189118082580896</v>
      </c>
      <c r="D32" s="8">
        <v>0.91695061087972196</v>
      </c>
      <c r="E32" s="8">
        <v>-0.96174476782493756</v>
      </c>
      <c r="F32" s="8">
        <v>0.55148484917752005</v>
      </c>
      <c r="H32" s="2">
        <f t="shared" si="0"/>
        <v>7.6028647141674135</v>
      </c>
    </row>
    <row r="34" spans="1:6" x14ac:dyDescent="0.25">
      <c r="A34" t="s">
        <v>56</v>
      </c>
      <c r="B34">
        <v>4.06301570844031</v>
      </c>
      <c r="C34">
        <v>2.1702855043291098</v>
      </c>
      <c r="D34">
        <v>1.6008862070974099</v>
      </c>
      <c r="E34">
        <v>1.3174486883505201</v>
      </c>
      <c r="F34">
        <v>1.1342010930034301</v>
      </c>
    </row>
  </sheetData>
  <mergeCells count="1">
    <mergeCell ref="B1:F1"/>
  </mergeCells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0784-FE33-4003-A3E6-AE70CEE3FE72}">
  <dimension ref="A1:AI98"/>
  <sheetViews>
    <sheetView tabSelected="1" topLeftCell="A58" workbookViewId="0">
      <selection activeCell="V66" sqref="V66"/>
    </sheetView>
  </sheetViews>
  <sheetFormatPr defaultRowHeight="15" x14ac:dyDescent="0.25"/>
  <cols>
    <col min="17" max="17" width="12.5703125" customWidth="1"/>
    <col min="19" max="19" width="11.7109375" customWidth="1"/>
  </cols>
  <sheetData>
    <row r="1" spans="1:35" x14ac:dyDescent="0.25">
      <c r="B1" s="33" t="s">
        <v>33</v>
      </c>
      <c r="C1" s="33"/>
      <c r="D1" s="33"/>
      <c r="E1" s="33"/>
      <c r="F1" s="33"/>
      <c r="I1" t="s">
        <v>35</v>
      </c>
      <c r="W1" s="9" t="s">
        <v>34</v>
      </c>
    </row>
    <row r="2" spans="1:35" x14ac:dyDescent="0.25">
      <c r="A2" s="8" t="s">
        <v>0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I2" s="6" t="s">
        <v>5</v>
      </c>
      <c r="J2" s="6" t="s">
        <v>6</v>
      </c>
      <c r="K2" s="6" t="s">
        <v>7</v>
      </c>
      <c r="L2" s="6" t="s">
        <v>8</v>
      </c>
      <c r="M2" s="6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W2" s="26">
        <v>-0.35919553999999998</v>
      </c>
      <c r="X2" s="26">
        <v>0.15036911</v>
      </c>
      <c r="Y2" s="26">
        <v>-1.0413540000000001E-2</v>
      </c>
      <c r="Z2" s="26">
        <v>-0.15749115</v>
      </c>
      <c r="AA2" s="26">
        <v>-0.30951113000000002</v>
      </c>
      <c r="AB2" s="26">
        <v>-0.41586159</v>
      </c>
      <c r="AC2" s="26">
        <v>0.33338369000000001</v>
      </c>
      <c r="AD2" s="26">
        <v>-2.8124679999999999E-2</v>
      </c>
      <c r="AE2" s="26">
        <v>0.16833345</v>
      </c>
      <c r="AF2" s="26">
        <v>-7.0722419999999994E-2</v>
      </c>
      <c r="AG2" s="26">
        <v>0.42189455999999997</v>
      </c>
      <c r="AH2" s="26">
        <v>-0.32009747</v>
      </c>
      <c r="AI2" s="26">
        <v>0.35914742999999999</v>
      </c>
    </row>
    <row r="3" spans="1:35" x14ac:dyDescent="0.25">
      <c r="A3" s="8">
        <v>1</v>
      </c>
      <c r="B3" s="8">
        <f t="array" ref="B3:F32">MMULT(SPE!I3:U32,'V - Eiegenvectors'!A1:E13)</f>
        <v>0.28713648683098936</v>
      </c>
      <c r="C3" s="8">
        <v>0.20904420008749627</v>
      </c>
      <c r="D3" s="8">
        <v>-0.76747797604159429</v>
      </c>
      <c r="E3" s="8">
        <v>-0.63956355253342445</v>
      </c>
      <c r="F3" s="8">
        <v>-0.55989728749698298</v>
      </c>
      <c r="I3" s="26">
        <v>2.3172450429664152E-2</v>
      </c>
      <c r="J3" s="26">
        <v>-0.72172112833975577</v>
      </c>
      <c r="K3" s="26">
        <v>-1.1699384146911589</v>
      </c>
      <c r="L3" s="26">
        <v>-1.3286950678911154</v>
      </c>
      <c r="M3" s="26">
        <v>-0.15417617146348278</v>
      </c>
      <c r="N3" s="26">
        <v>-0.39000887813107282</v>
      </c>
      <c r="O3" s="26">
        <v>-0.31573423778279475</v>
      </c>
      <c r="P3" s="26">
        <v>-0.79399923338042055</v>
      </c>
      <c r="Q3" s="26">
        <v>-4.3296604858100281E-2</v>
      </c>
      <c r="R3" s="26">
        <v>0.46587065656463267</v>
      </c>
      <c r="S3" s="26">
        <v>0.37426320400861068</v>
      </c>
      <c r="T3" s="26">
        <v>0.15248039113808745</v>
      </c>
      <c r="U3" s="26">
        <v>-3.7006977554947591E-2</v>
      </c>
      <c r="W3" s="26">
        <v>0.26977001</v>
      </c>
      <c r="X3" s="26">
        <v>-0.39149167000000001</v>
      </c>
      <c r="Y3" s="26">
        <v>-0.1665046</v>
      </c>
      <c r="Z3" s="26">
        <v>0.17505351</v>
      </c>
      <c r="AA3" s="26">
        <v>0.38020706999999998</v>
      </c>
      <c r="AB3" s="26">
        <v>-0.19485696</v>
      </c>
      <c r="AC3" s="26">
        <v>0.2307843</v>
      </c>
      <c r="AD3" s="26">
        <v>-0.10478899</v>
      </c>
      <c r="AE3" s="26">
        <v>0.26034613000000001</v>
      </c>
      <c r="AF3" s="26">
        <v>-0.37149633999999998</v>
      </c>
      <c r="AG3" s="26">
        <v>0.18537540999999999</v>
      </c>
      <c r="AH3" s="26">
        <v>0.37040388000000002</v>
      </c>
      <c r="AI3" s="26">
        <v>0.30243910000000002</v>
      </c>
    </row>
    <row r="4" spans="1:35" x14ac:dyDescent="0.25">
      <c r="A4" s="8">
        <v>2</v>
      </c>
      <c r="B4" s="8">
        <v>-1.7601663630540929</v>
      </c>
      <c r="C4" s="8">
        <v>1.824174100242709</v>
      </c>
      <c r="D4" s="8">
        <v>-1.8558121868913993</v>
      </c>
      <c r="E4" s="8">
        <v>-0.35215202653782302</v>
      </c>
      <c r="F4" s="8">
        <v>-0.12107972205105105</v>
      </c>
      <c r="I4" s="26">
        <v>1.0369671567298377</v>
      </c>
      <c r="J4" s="26">
        <v>-0.73665328961576937</v>
      </c>
      <c r="K4" s="26">
        <v>-0.95541139693509936</v>
      </c>
      <c r="L4" s="26">
        <v>0.75902106912327238</v>
      </c>
      <c r="M4" s="26">
        <v>1.8307946847241041</v>
      </c>
      <c r="N4" s="26">
        <v>-0.36268810516976918</v>
      </c>
      <c r="O4" s="26">
        <v>-0.88227273665190875</v>
      </c>
      <c r="P4" s="26">
        <v>-0.79399923338042055</v>
      </c>
      <c r="Q4" s="26">
        <v>0.38966944372343126</v>
      </c>
      <c r="R4" s="26">
        <v>0.68984693375981643</v>
      </c>
      <c r="S4" s="26">
        <v>0.46155720620435642</v>
      </c>
      <c r="T4" s="26">
        <v>1.5143281593178539</v>
      </c>
      <c r="U4" s="26">
        <v>-0.57499387593091</v>
      </c>
      <c r="W4" s="26">
        <v>0.26668322999999999</v>
      </c>
      <c r="X4" s="26">
        <v>-0.28535994999999997</v>
      </c>
      <c r="Y4" s="26">
        <v>0.27645335999999998</v>
      </c>
      <c r="Z4" s="26">
        <v>-1.605055E-2</v>
      </c>
      <c r="AA4" s="26">
        <v>-0.23372086</v>
      </c>
      <c r="AB4" s="26">
        <v>0.15262534999999999</v>
      </c>
      <c r="AC4" s="26">
        <v>0.26418377999999998</v>
      </c>
      <c r="AD4" s="26">
        <v>0.37555738999999999</v>
      </c>
      <c r="AE4" s="26">
        <v>-0.42922842999999999</v>
      </c>
      <c r="AF4" s="26">
        <v>-0.39103371999999997</v>
      </c>
      <c r="AG4" s="26">
        <v>-0.15613738999999999</v>
      </c>
      <c r="AH4" s="26">
        <v>-0.28094116000000002</v>
      </c>
      <c r="AI4" s="26">
        <v>0.20385797999999999</v>
      </c>
    </row>
    <row r="5" spans="1:35" x14ac:dyDescent="0.25">
      <c r="A5" s="8">
        <v>3</v>
      </c>
      <c r="B5" s="8">
        <v>3.9918259701936631</v>
      </c>
      <c r="C5" s="8">
        <v>-1.3915509847766545</v>
      </c>
      <c r="D5" s="8">
        <v>-1.4071529971061905</v>
      </c>
      <c r="E5" s="8">
        <v>1.2713432690359019</v>
      </c>
      <c r="F5" s="8">
        <v>0.45256947396198177</v>
      </c>
      <c r="I5" s="26">
        <v>-1.5554507350948079</v>
      </c>
      <c r="J5" s="26">
        <v>2.518557868551218</v>
      </c>
      <c r="K5" s="26">
        <v>1.2051821390367439</v>
      </c>
      <c r="L5" s="26">
        <v>-0.26118972922354722</v>
      </c>
      <c r="M5" s="26">
        <v>-1.5804004603081605</v>
      </c>
      <c r="N5" s="26">
        <v>-1.3787883421130149</v>
      </c>
      <c r="O5" s="26">
        <v>0.9956556739421456</v>
      </c>
      <c r="P5" s="26">
        <v>-0.79399923338042055</v>
      </c>
      <c r="Q5" s="26">
        <v>1.6885675894680259</v>
      </c>
      <c r="R5" s="26">
        <v>0.95861846639352777</v>
      </c>
      <c r="S5" s="26">
        <v>1.3675273911548229</v>
      </c>
      <c r="T5" s="26">
        <v>-1.1628084789841959</v>
      </c>
      <c r="U5" s="26">
        <v>1.2345984186064323</v>
      </c>
      <c r="W5" s="26">
        <v>-4.495466E-2</v>
      </c>
      <c r="X5" s="26">
        <v>0.16534819000000001</v>
      </c>
      <c r="Y5" s="26">
        <v>0.66447553999999998</v>
      </c>
      <c r="Z5" s="26">
        <v>-0.31853774000000001</v>
      </c>
      <c r="AA5" s="26">
        <v>0.30841488</v>
      </c>
      <c r="AB5" s="26">
        <v>8.3100140000000003E-2</v>
      </c>
      <c r="AC5" s="26">
        <v>0.26657262999999998</v>
      </c>
      <c r="AD5" s="26">
        <v>0.15654720999999999</v>
      </c>
      <c r="AE5" s="26">
        <v>0.16513548</v>
      </c>
      <c r="AF5" s="26">
        <v>0.26850386999999998</v>
      </c>
      <c r="AG5" s="26">
        <v>-7.9287990000000003E-2</v>
      </c>
      <c r="AH5" s="26">
        <v>0.28185292000000001</v>
      </c>
      <c r="AI5" s="26">
        <v>0.21203760999999999</v>
      </c>
    </row>
    <row r="6" spans="1:35" x14ac:dyDescent="0.25">
      <c r="A6" s="8">
        <v>4</v>
      </c>
      <c r="B6" s="8">
        <v>-4.1726498234292571</v>
      </c>
      <c r="C6" s="8">
        <v>-1.5915643145019671</v>
      </c>
      <c r="D6" s="8">
        <v>-1.3179876642302606</v>
      </c>
      <c r="E6" s="8">
        <v>-9.2356993820939481E-2</v>
      </c>
      <c r="F6" s="8">
        <v>1.2544524537402539</v>
      </c>
      <c r="I6" s="26">
        <v>0.18248304713401683</v>
      </c>
      <c r="J6" s="26">
        <v>-0.21402764495592977</v>
      </c>
      <c r="K6" s="26">
        <v>0.44667589768492516</v>
      </c>
      <c r="L6" s="26">
        <v>1.5613391638497203</v>
      </c>
      <c r="M6" s="26">
        <v>0.74171239244563281</v>
      </c>
      <c r="N6" s="26">
        <v>2.0915311170123738</v>
      </c>
      <c r="O6" s="26">
        <v>-1.7625516791178721</v>
      </c>
      <c r="P6" s="26">
        <v>-0.79399923338042055</v>
      </c>
      <c r="Q6" s="26">
        <v>-0.47626265343963181</v>
      </c>
      <c r="R6" s="26">
        <v>1.7649330642946615</v>
      </c>
      <c r="S6" s="26">
        <v>-1.977956260563301</v>
      </c>
      <c r="T6" s="26">
        <v>0.96144124488592497</v>
      </c>
      <c r="U6" s="26">
        <v>-2.2623164208373407</v>
      </c>
      <c r="W6" s="26">
        <v>-0.21133916</v>
      </c>
      <c r="X6" s="26">
        <v>-8.8419479999999995E-2</v>
      </c>
      <c r="Y6" s="26">
        <v>-0.12695454</v>
      </c>
      <c r="Z6" s="26">
        <v>0.56718469000000005</v>
      </c>
      <c r="AA6" s="26">
        <v>-5.9472810000000001E-2</v>
      </c>
      <c r="AB6" s="26">
        <v>0.27618752000000002</v>
      </c>
      <c r="AC6" s="26">
        <v>0.40631103000000002</v>
      </c>
      <c r="AD6" s="26">
        <v>-0.15521768999999999</v>
      </c>
      <c r="AE6" s="26">
        <v>-5.310455E-2</v>
      </c>
      <c r="AF6" s="26">
        <v>0.42038449999999999</v>
      </c>
      <c r="AG6" s="26">
        <v>-0.24487452000000001</v>
      </c>
      <c r="AH6" s="26">
        <v>-3.2284109999999998E-2</v>
      </c>
      <c r="AI6" s="26">
        <v>0.31647285000000003</v>
      </c>
    </row>
    <row r="7" spans="1:35" x14ac:dyDescent="0.25">
      <c r="A7" s="8">
        <v>5</v>
      </c>
      <c r="B7" s="8">
        <v>0.25652686405783992</v>
      </c>
      <c r="C7" s="8">
        <v>-2.2554412083468023</v>
      </c>
      <c r="D7" s="8">
        <v>0.75425758935008413</v>
      </c>
      <c r="E7" s="8">
        <v>1.941374359025767</v>
      </c>
      <c r="F7" s="8">
        <v>-0.59771136522328128</v>
      </c>
      <c r="I7" s="26">
        <v>8.6896689111240575E-3</v>
      </c>
      <c r="J7" s="26">
        <v>1.7868819660274531</v>
      </c>
      <c r="K7" s="26">
        <v>2.3008022654338185</v>
      </c>
      <c r="L7" s="26">
        <v>-0.77805149129990048</v>
      </c>
      <c r="M7" s="26">
        <v>-0.58412691989343424</v>
      </c>
      <c r="N7" s="26">
        <v>0.28429105027521828</v>
      </c>
      <c r="O7" s="26">
        <v>-1.5536547146960568E-2</v>
      </c>
      <c r="P7" s="26">
        <v>0.79399923338042055</v>
      </c>
      <c r="Q7" s="26">
        <v>-0.47626265343963181</v>
      </c>
      <c r="R7" s="26">
        <v>0.60025642288148828</v>
      </c>
      <c r="S7" s="26">
        <v>-0.3146516241308096</v>
      </c>
      <c r="T7" s="26">
        <v>-0.56918252875199005</v>
      </c>
      <c r="U7" s="26">
        <v>-0.19351225708250122</v>
      </c>
    </row>
    <row r="8" spans="1:35" x14ac:dyDescent="0.25">
      <c r="A8" s="8">
        <v>6</v>
      </c>
      <c r="B8" s="8">
        <v>-2.5054914144018636</v>
      </c>
      <c r="C8" s="8">
        <v>-2.3941859676071942</v>
      </c>
      <c r="D8" s="8">
        <v>0.40756121957255137</v>
      </c>
      <c r="E8" s="8">
        <v>1.0811806365076424</v>
      </c>
      <c r="F8" s="8">
        <v>-1.1705754443717993</v>
      </c>
      <c r="I8" s="26">
        <v>0.67489761876551202</v>
      </c>
      <c r="J8" s="26">
        <v>0.48778393501586093</v>
      </c>
      <c r="K8" s="26">
        <v>1.5269726656708604</v>
      </c>
      <c r="L8" s="26">
        <v>-1.1260041808023304</v>
      </c>
      <c r="M8" s="26">
        <v>-0.24887897948766724</v>
      </c>
      <c r="N8" s="26">
        <v>1.7793767536036194</v>
      </c>
      <c r="O8" s="26">
        <v>-1.5571532592091453</v>
      </c>
      <c r="P8" s="26">
        <v>0.79399923338042055</v>
      </c>
      <c r="Q8" s="26">
        <v>0.38966944372343126</v>
      </c>
      <c r="R8" s="26">
        <v>0.4210754011261052</v>
      </c>
      <c r="S8" s="26">
        <v>-1.9331296107871101</v>
      </c>
      <c r="T8" s="26">
        <v>-0.3189284516933702</v>
      </c>
      <c r="U8" s="26">
        <v>-1.7145479424909116</v>
      </c>
    </row>
    <row r="9" spans="1:35" x14ac:dyDescent="0.25">
      <c r="A9" s="8">
        <v>7</v>
      </c>
      <c r="B9" s="8">
        <v>-1.1794190112852077</v>
      </c>
      <c r="C9" s="8">
        <v>-0.38732282312655547</v>
      </c>
      <c r="D9" s="8">
        <v>1.8296619311654791</v>
      </c>
      <c r="E9" s="8">
        <v>-0.83920366645837252</v>
      </c>
      <c r="F9" s="8">
        <v>0.60412868690745614</v>
      </c>
      <c r="I9" s="26">
        <v>1.6307611989914224</v>
      </c>
      <c r="J9" s="26">
        <v>0.18914070949596015</v>
      </c>
      <c r="K9" s="26">
        <v>0.35473574721803475</v>
      </c>
      <c r="L9" s="26">
        <v>0.8485428775874776</v>
      </c>
      <c r="M9" s="26">
        <v>-0.82088393995397613</v>
      </c>
      <c r="N9" s="26">
        <v>0.87314090154723767</v>
      </c>
      <c r="O9" s="26">
        <v>0.24967569833957867</v>
      </c>
      <c r="P9" s="26">
        <v>-0.79399923338042055</v>
      </c>
      <c r="Q9" s="26">
        <v>-1.7751607991842264</v>
      </c>
      <c r="R9" s="26">
        <v>-0.6988059848479039</v>
      </c>
      <c r="S9" s="26">
        <v>-0.83369704259201116</v>
      </c>
      <c r="T9" s="26">
        <v>-0.38294693652230599</v>
      </c>
      <c r="U9" s="26">
        <v>-7.6622376435301993E-3</v>
      </c>
    </row>
    <row r="10" spans="1:35" x14ac:dyDescent="0.25">
      <c r="A10" s="8">
        <v>8</v>
      </c>
      <c r="B10" s="8">
        <v>-3.8634948937306957E-2</v>
      </c>
      <c r="C10" s="8">
        <v>1.3938357981395084</v>
      </c>
      <c r="D10" s="8">
        <v>1.0835262780320658</v>
      </c>
      <c r="E10" s="8">
        <v>-0.8314333130399113</v>
      </c>
      <c r="F10" s="8">
        <v>0.77371345797308977</v>
      </c>
      <c r="I10" s="26">
        <v>0.55903536661688258</v>
      </c>
      <c r="J10" s="26">
        <v>-0.5126708704758306</v>
      </c>
      <c r="K10" s="26">
        <v>-1.0243665097852672</v>
      </c>
      <c r="L10" s="26">
        <v>1.0461664924990668</v>
      </c>
      <c r="M10" s="26">
        <v>0.13750847725109797</v>
      </c>
      <c r="N10" s="26">
        <v>0.27847811985792809</v>
      </c>
      <c r="O10" s="26">
        <v>0.84329970313072333</v>
      </c>
      <c r="P10" s="26">
        <v>0.79399923338042055</v>
      </c>
      <c r="Q10" s="26">
        <v>0.38966944372343126</v>
      </c>
      <c r="R10" s="26">
        <v>-1.1467585392369983</v>
      </c>
      <c r="S10" s="26">
        <v>-0.43025719460625844</v>
      </c>
      <c r="T10" s="26">
        <v>-0.22581065557848679</v>
      </c>
      <c r="U10" s="26">
        <v>0.71128389018617855</v>
      </c>
    </row>
    <row r="11" spans="1:35" x14ac:dyDescent="0.25">
      <c r="A11" s="8">
        <v>9</v>
      </c>
      <c r="B11" s="8">
        <v>0.724038726017599</v>
      </c>
      <c r="C11" s="8">
        <v>0.50246391929210876</v>
      </c>
      <c r="D11" s="8">
        <v>-2.7191679360759988E-2</v>
      </c>
      <c r="E11" s="8">
        <v>-2.0683002006031388</v>
      </c>
      <c r="F11" s="8">
        <v>-1.3445175630093176</v>
      </c>
      <c r="I11" s="26">
        <v>0.35627642535690957</v>
      </c>
      <c r="J11" s="26">
        <v>-0.67692464451176804</v>
      </c>
      <c r="K11" s="26">
        <v>-1.2388935275413266</v>
      </c>
      <c r="L11" s="26">
        <v>-0.56522605985672447</v>
      </c>
      <c r="M11" s="26">
        <v>-0.7659563112998834</v>
      </c>
      <c r="N11" s="26">
        <v>-0.69983806937293125</v>
      </c>
      <c r="O11" s="26">
        <v>-0.736688142320994</v>
      </c>
      <c r="P11" s="26">
        <v>-0.79399923338042055</v>
      </c>
      <c r="Q11" s="26">
        <v>0.38966944372343126</v>
      </c>
      <c r="R11" s="26">
        <v>-1.370734816432182</v>
      </c>
      <c r="S11" s="26">
        <v>0.59367785817630148</v>
      </c>
      <c r="T11" s="26">
        <v>-0.87181536612529908</v>
      </c>
      <c r="U11" s="26">
        <v>-0.40381622644764764</v>
      </c>
    </row>
    <row r="12" spans="1:35" x14ac:dyDescent="0.25">
      <c r="A12" s="8">
        <v>10</v>
      </c>
      <c r="B12" s="8">
        <v>0.34368116315465402</v>
      </c>
      <c r="C12" s="8">
        <v>1.071801882007783</v>
      </c>
      <c r="D12" s="8">
        <v>-1.223213973485217</v>
      </c>
      <c r="E12" s="8">
        <v>0.49093013950535208</v>
      </c>
      <c r="F12" s="8">
        <v>-2.0331996947256417</v>
      </c>
      <c r="I12" s="26">
        <v>9.5586358022570442E-2</v>
      </c>
      <c r="J12" s="26">
        <v>1.2941206439196407</v>
      </c>
      <c r="K12" s="26">
        <v>-0.80217781282362444</v>
      </c>
      <c r="L12" s="26">
        <v>-1.185122356203266</v>
      </c>
      <c r="M12" s="26">
        <v>0.96331696322228144</v>
      </c>
      <c r="N12" s="26">
        <v>-0.90619709918689861</v>
      </c>
      <c r="O12" s="26">
        <v>-0.36539099863984553</v>
      </c>
      <c r="P12" s="26">
        <v>0.79399923338042055</v>
      </c>
      <c r="Q12" s="26">
        <v>0.8226354923049628</v>
      </c>
      <c r="R12" s="26">
        <v>-1.0123727729201426</v>
      </c>
      <c r="S12" s="26">
        <v>0.82017040441391809</v>
      </c>
      <c r="T12" s="26">
        <v>1.4561295367460414</v>
      </c>
      <c r="U12" s="26">
        <v>-0.10058724736300703</v>
      </c>
    </row>
    <row r="13" spans="1:35" x14ac:dyDescent="0.25">
      <c r="A13" s="8">
        <v>11</v>
      </c>
      <c r="B13" s="8">
        <v>-2.2641138064147159</v>
      </c>
      <c r="C13" s="8">
        <v>3.530047344045055E-2</v>
      </c>
      <c r="D13" s="8">
        <v>1.2529624865041986</v>
      </c>
      <c r="E13" s="8">
        <v>0.1313933893746462</v>
      </c>
      <c r="F13" s="8">
        <v>0.95386605146689585</v>
      </c>
      <c r="I13" s="26">
        <v>0.48662145902407916</v>
      </c>
      <c r="J13" s="26">
        <v>-1.0054321925836429</v>
      </c>
      <c r="K13" s="26">
        <v>0.82975985796362617</v>
      </c>
      <c r="L13" s="26">
        <v>0.6340283554186017</v>
      </c>
      <c r="M13" s="26">
        <v>0.50684942854558424</v>
      </c>
      <c r="N13" s="26">
        <v>1.7968155448554899</v>
      </c>
      <c r="O13" s="26">
        <v>-0.35636249666584069</v>
      </c>
      <c r="P13" s="26">
        <v>-0.79399923338042055</v>
      </c>
      <c r="Q13" s="26">
        <v>-0.90922870202116335</v>
      </c>
      <c r="R13" s="26">
        <v>-0.51962496309188422</v>
      </c>
      <c r="S13" s="26">
        <v>-1.6995591724795676</v>
      </c>
      <c r="T13" s="26">
        <v>7.6822181794822225E-2</v>
      </c>
      <c r="U13" s="26">
        <v>8.037198209072198E-2</v>
      </c>
    </row>
    <row r="14" spans="1:35" x14ac:dyDescent="0.25">
      <c r="A14" s="8">
        <v>12</v>
      </c>
      <c r="B14" s="8">
        <v>-0.23698504045603749</v>
      </c>
      <c r="C14" s="8">
        <v>0.60813195873775716</v>
      </c>
      <c r="D14" s="8">
        <v>-0.49775231397058628</v>
      </c>
      <c r="E14" s="8">
        <v>-0.71347430318098259</v>
      </c>
      <c r="F14" s="8">
        <v>-2.4347154735148178</v>
      </c>
      <c r="I14" s="26">
        <v>0.93558768609985121</v>
      </c>
      <c r="J14" s="26">
        <v>0.42805528991191261</v>
      </c>
      <c r="K14" s="26">
        <v>-8.9641646705250835E-2</v>
      </c>
      <c r="L14" s="26">
        <v>-0.8625060275869102</v>
      </c>
      <c r="M14" s="26">
        <v>0.47275641765686494</v>
      </c>
      <c r="N14" s="26">
        <v>-0.89108348010192429</v>
      </c>
      <c r="O14" s="26">
        <v>-1.1350707919241891</v>
      </c>
      <c r="P14" s="26">
        <v>-0.79399923338042055</v>
      </c>
      <c r="Q14" s="26">
        <v>-4.3296604858100281E-2</v>
      </c>
      <c r="R14" s="26">
        <v>-1.4827229550294556</v>
      </c>
      <c r="S14" s="26">
        <v>0.78006234935100816</v>
      </c>
      <c r="T14" s="26">
        <v>0.21067901370989991</v>
      </c>
      <c r="U14" s="26">
        <v>-0.91734917489743462</v>
      </c>
    </row>
    <row r="15" spans="1:35" x14ac:dyDescent="0.25">
      <c r="A15" s="8">
        <v>13</v>
      </c>
      <c r="B15" s="8">
        <v>-2.9155947844005863</v>
      </c>
      <c r="C15" s="8">
        <v>1.2012079290999684</v>
      </c>
      <c r="D15" s="8">
        <v>1.8674604183922434</v>
      </c>
      <c r="E15" s="8">
        <v>-0.34471637651897469</v>
      </c>
      <c r="F15" s="8">
        <v>-0.33307762946348463</v>
      </c>
      <c r="I15" s="26">
        <v>2.1376585521414575</v>
      </c>
      <c r="J15" s="26">
        <v>-1.0054321925836429</v>
      </c>
      <c r="K15" s="26">
        <v>-0.27352194763900445</v>
      </c>
      <c r="L15" s="26">
        <v>0.37728656510607694</v>
      </c>
      <c r="M15" s="26">
        <v>0.99362186179006784</v>
      </c>
      <c r="N15" s="26">
        <v>0.9789362351420251</v>
      </c>
      <c r="O15" s="26">
        <v>-0.421819135977404</v>
      </c>
      <c r="P15" s="26">
        <v>0.79399923338042055</v>
      </c>
      <c r="Q15" s="26">
        <v>-1.7751607991842264</v>
      </c>
      <c r="R15" s="26">
        <v>-1.0123727729201426</v>
      </c>
      <c r="S15" s="26">
        <v>-1.0531116967597021</v>
      </c>
      <c r="T15" s="26">
        <v>1.1302172503440737</v>
      </c>
      <c r="U15" s="26">
        <v>-8.1024087422056301E-2</v>
      </c>
    </row>
    <row r="16" spans="1:35" x14ac:dyDescent="0.25">
      <c r="A16" s="8">
        <v>14</v>
      </c>
      <c r="B16" s="8">
        <v>1.7211595723980988</v>
      </c>
      <c r="C16" s="8">
        <v>2.2456858077802702</v>
      </c>
      <c r="D16" s="8">
        <v>0.95163640329785593</v>
      </c>
      <c r="E16" s="8">
        <v>0.60549267205527513</v>
      </c>
      <c r="F16" s="8">
        <v>-0.15740258346417757</v>
      </c>
      <c r="I16" s="26">
        <v>0.6024837111726058</v>
      </c>
      <c r="J16" s="26">
        <v>-0.58733167685579246</v>
      </c>
      <c r="K16" s="26">
        <v>1.2511522142701892</v>
      </c>
      <c r="L16" s="26">
        <v>0.43978292195850827</v>
      </c>
      <c r="M16" s="26">
        <v>-1.0227903266631947E-2</v>
      </c>
      <c r="N16" s="26">
        <v>-1.0003665719471055</v>
      </c>
      <c r="O16" s="26">
        <v>1.3974240117855785</v>
      </c>
      <c r="P16" s="26">
        <v>-0.79399923338042055</v>
      </c>
      <c r="Q16" s="26">
        <v>0.8226354923049628</v>
      </c>
      <c r="R16" s="26">
        <v>-1.5947110936267292</v>
      </c>
      <c r="S16" s="26">
        <v>1.1363162502039252</v>
      </c>
      <c r="T16" s="26">
        <v>-3.9575063348802696E-2</v>
      </c>
      <c r="U16" s="26">
        <v>1.2737247384883164</v>
      </c>
    </row>
    <row r="17" spans="1:21" x14ac:dyDescent="0.25">
      <c r="A17" s="8">
        <v>15</v>
      </c>
      <c r="B17" s="8">
        <v>-0.45665119076582278</v>
      </c>
      <c r="C17" s="8">
        <v>1.1799290237928757</v>
      </c>
      <c r="D17" s="8">
        <v>0.31648517034384149</v>
      </c>
      <c r="E17" s="8">
        <v>-0.30108832884625236</v>
      </c>
      <c r="F17" s="8">
        <v>-4.7888347354055325E-2</v>
      </c>
      <c r="I17" s="26">
        <v>-0.16510370931176871</v>
      </c>
      <c r="J17" s="26">
        <v>-1.1099573215156322</v>
      </c>
      <c r="K17" s="26">
        <v>-0.37312377731147817</v>
      </c>
      <c r="L17" s="26">
        <v>0.45836291994159084</v>
      </c>
      <c r="M17" s="26">
        <v>0.45381585605198499</v>
      </c>
      <c r="N17" s="26">
        <v>0.28312846419175364</v>
      </c>
      <c r="O17" s="26">
        <v>-1.1022296159950117E-2</v>
      </c>
      <c r="P17" s="26">
        <v>0.79399923338042055</v>
      </c>
      <c r="Q17" s="26">
        <v>0.8226354923049628</v>
      </c>
      <c r="R17" s="26">
        <v>-0.90038463432286908</v>
      </c>
      <c r="S17" s="26">
        <v>-0.17073448537565766</v>
      </c>
      <c r="T17" s="26">
        <v>0.32125639659631877</v>
      </c>
      <c r="U17" s="26">
        <v>-6.6351717466364979E-2</v>
      </c>
    </row>
    <row r="18" spans="1:21" x14ac:dyDescent="0.25">
      <c r="A18" s="8">
        <v>16</v>
      </c>
      <c r="B18" s="8">
        <v>0.70402045217853737</v>
      </c>
      <c r="C18" s="8">
        <v>-0.53321344544677318</v>
      </c>
      <c r="D18" s="8">
        <v>1.0013888596035956</v>
      </c>
      <c r="E18" s="8">
        <v>-1.6644224735619499</v>
      </c>
      <c r="F18" s="8">
        <v>-0.76237958924850235</v>
      </c>
      <c r="I18" s="26">
        <v>-0.2085520538674919</v>
      </c>
      <c r="J18" s="26">
        <v>0.39819096735988541</v>
      </c>
      <c r="K18" s="26">
        <v>-0.15093508034983538</v>
      </c>
      <c r="L18" s="26">
        <v>1.8417282243225233</v>
      </c>
      <c r="M18" s="26">
        <v>-0.67125350327569899</v>
      </c>
      <c r="N18" s="26">
        <v>-1.122438110710299</v>
      </c>
      <c r="O18" s="26">
        <v>-0.90822967982718272</v>
      </c>
      <c r="P18" s="26">
        <v>2.3819977001412616</v>
      </c>
      <c r="Q18" s="26">
        <v>-0.47626265343963181</v>
      </c>
      <c r="R18" s="26">
        <v>-0.98997514520119723</v>
      </c>
      <c r="S18" s="26">
        <v>1.0608187347913862</v>
      </c>
      <c r="T18" s="26">
        <v>-1.1104297186695895</v>
      </c>
      <c r="U18" s="26">
        <v>-0.66791888565038682</v>
      </c>
    </row>
    <row r="19" spans="1:21" x14ac:dyDescent="0.25">
      <c r="A19" s="8">
        <v>17</v>
      </c>
      <c r="B19" s="8">
        <v>-0.52465905868759122</v>
      </c>
      <c r="C19" s="8">
        <v>-0.48869408003843873</v>
      </c>
      <c r="D19" s="8">
        <v>2.4683341208406357</v>
      </c>
      <c r="E19" s="8">
        <v>-0.31237138420423238</v>
      </c>
      <c r="F19" s="8">
        <v>0.32475191703998452</v>
      </c>
      <c r="I19" s="26">
        <v>0.76179430787695845</v>
      </c>
      <c r="J19" s="26">
        <v>-0.90090706365170681</v>
      </c>
      <c r="K19" s="26">
        <v>0.31642735119017279</v>
      </c>
      <c r="L19" s="26">
        <v>-0.104104291729715</v>
      </c>
      <c r="M19" s="26">
        <v>-0.78679092906525672</v>
      </c>
      <c r="N19" s="26">
        <v>0.56679946855577312</v>
      </c>
      <c r="O19" s="26">
        <v>0.56793039292342251</v>
      </c>
      <c r="P19" s="26">
        <v>0.79399923338042055</v>
      </c>
      <c r="Q19" s="26">
        <v>-1.7751607991842264</v>
      </c>
      <c r="R19" s="26">
        <v>-0.34044394133586453</v>
      </c>
      <c r="S19" s="26">
        <v>-0.66854622762708182</v>
      </c>
      <c r="T19" s="26">
        <v>-0.57500239100919615</v>
      </c>
      <c r="U19" s="26">
        <v>0.19286015175114954</v>
      </c>
    </row>
    <row r="20" spans="1:21" x14ac:dyDescent="0.25">
      <c r="A20" s="8">
        <v>18</v>
      </c>
      <c r="B20" s="8">
        <v>2.8822976354347931</v>
      </c>
      <c r="C20" s="8">
        <v>1.1624347571150466</v>
      </c>
      <c r="D20" s="8">
        <v>-0.3713588131081984</v>
      </c>
      <c r="E20" s="8">
        <v>-0.8237441130185954</v>
      </c>
      <c r="F20" s="8">
        <v>1.1872103059329748</v>
      </c>
      <c r="I20" s="26">
        <v>-1.1499328525747592</v>
      </c>
      <c r="J20" s="26">
        <v>0.72669851543181341</v>
      </c>
      <c r="K20" s="26">
        <v>-1.2772019235691887</v>
      </c>
      <c r="L20" s="26">
        <v>1.4599937203053279</v>
      </c>
      <c r="M20" s="26">
        <v>-0.83224827691688252</v>
      </c>
      <c r="N20" s="26">
        <v>-1.0631462204538993</v>
      </c>
      <c r="O20" s="26">
        <v>1.2687678586559492</v>
      </c>
      <c r="P20" s="26">
        <v>0.79399923338042055</v>
      </c>
      <c r="Q20" s="26">
        <v>1.6885675894680259</v>
      </c>
      <c r="R20" s="26">
        <v>-0.721203612567486</v>
      </c>
      <c r="S20" s="26">
        <v>1.0089141929452612</v>
      </c>
      <c r="T20" s="26">
        <v>-0.48188459489431273</v>
      </c>
      <c r="U20" s="26">
        <v>1.5622813476172481</v>
      </c>
    </row>
    <row r="21" spans="1:21" x14ac:dyDescent="0.25">
      <c r="A21" s="8">
        <v>19</v>
      </c>
      <c r="B21" s="8">
        <v>-3.2107509172513589</v>
      </c>
      <c r="C21" s="8">
        <v>1.1685886626270867</v>
      </c>
      <c r="D21" s="8">
        <v>-1.6614410648085471</v>
      </c>
      <c r="E21" s="8">
        <v>0.10841199584887787</v>
      </c>
      <c r="F21" s="8">
        <v>-0.10945383297863898</v>
      </c>
      <c r="I21" s="26">
        <v>0.97903603065557432</v>
      </c>
      <c r="J21" s="26">
        <v>0.2787336771519357</v>
      </c>
      <c r="K21" s="26">
        <v>-0.57998911586198165</v>
      </c>
      <c r="L21" s="26">
        <v>0.78942470218663807</v>
      </c>
      <c r="M21" s="26">
        <v>1.9254974927483424</v>
      </c>
      <c r="N21" s="26">
        <v>0.92661986138634722</v>
      </c>
      <c r="O21" s="26">
        <v>-1.0267287682360666</v>
      </c>
      <c r="P21" s="26">
        <v>-0.79399923338042055</v>
      </c>
      <c r="Q21" s="26">
        <v>0.38966944372343126</v>
      </c>
      <c r="R21" s="26">
        <v>-0.11646766414131732</v>
      </c>
      <c r="S21" s="26">
        <v>-1.0719860756128345</v>
      </c>
      <c r="T21" s="26">
        <v>2.1312335585787188</v>
      </c>
      <c r="U21" s="26">
        <v>-1.171670254129707</v>
      </c>
    </row>
    <row r="22" spans="1:21" x14ac:dyDescent="0.25">
      <c r="A22" s="8">
        <v>20</v>
      </c>
      <c r="B22" s="8">
        <v>1.3201156605408806</v>
      </c>
      <c r="C22" s="8">
        <v>1.1399202281037677</v>
      </c>
      <c r="D22" s="8">
        <v>1.5996917697964792</v>
      </c>
      <c r="E22" s="8">
        <v>1.2928727815817929</v>
      </c>
      <c r="F22" s="8">
        <v>-2.9170775640680047E-2</v>
      </c>
      <c r="I22" s="26">
        <v>9.5586358022570442E-2</v>
      </c>
      <c r="J22" s="26">
        <v>-1.3339397406555709</v>
      </c>
      <c r="K22" s="26">
        <v>0.84508321637476558</v>
      </c>
      <c r="L22" s="26">
        <v>-1.1344496344310218</v>
      </c>
      <c r="M22" s="26">
        <v>-0.41366186544983757</v>
      </c>
      <c r="N22" s="26">
        <v>0.16512597672067006</v>
      </c>
      <c r="O22" s="26">
        <v>1.3342244979675124</v>
      </c>
      <c r="P22" s="26">
        <v>0.79399923338042055</v>
      </c>
      <c r="Q22" s="26">
        <v>1.2556015408864944</v>
      </c>
      <c r="R22" s="26">
        <v>-0.721203612567486</v>
      </c>
      <c r="S22" s="26">
        <v>-5.9847509613489877E-2</v>
      </c>
      <c r="T22" s="26">
        <v>-0.38876679877942932</v>
      </c>
      <c r="U22" s="26">
        <v>1.5084826577796555</v>
      </c>
    </row>
    <row r="23" spans="1:21" x14ac:dyDescent="0.25">
      <c r="A23" s="8">
        <v>21</v>
      </c>
      <c r="B23" s="8">
        <v>2.6470041716816022</v>
      </c>
      <c r="C23" s="8">
        <v>0.30148155659057169</v>
      </c>
      <c r="D23" s="8">
        <v>0.83050201394856771</v>
      </c>
      <c r="E23" s="8">
        <v>0.27752285556683187</v>
      </c>
      <c r="F23" s="8">
        <v>-0.94227327236240788</v>
      </c>
      <c r="I23" s="26">
        <v>-1.0485533819447725</v>
      </c>
      <c r="J23" s="26">
        <v>-1.0502286764116306</v>
      </c>
      <c r="K23" s="26">
        <v>1.0672719133364084</v>
      </c>
      <c r="L23" s="26">
        <v>-1.3979477876464421</v>
      </c>
      <c r="M23" s="26">
        <v>-0.68640595255953829</v>
      </c>
      <c r="N23" s="26">
        <v>-1.3898329099058795</v>
      </c>
      <c r="O23" s="26">
        <v>0.70561504802707287</v>
      </c>
      <c r="P23" s="26">
        <v>-0.79399923338042055</v>
      </c>
      <c r="Q23" s="26">
        <v>-0.47626265343963181</v>
      </c>
      <c r="R23" s="26">
        <v>-0.74360124028643138</v>
      </c>
      <c r="S23" s="26">
        <v>1.5326782061197521</v>
      </c>
      <c r="T23" s="26">
        <v>-0.87763522838242247</v>
      </c>
      <c r="U23" s="26">
        <v>0.75530100005330469</v>
      </c>
    </row>
    <row r="24" spans="1:21" x14ac:dyDescent="0.25">
      <c r="A24" s="8">
        <v>22</v>
      </c>
      <c r="B24" s="8">
        <v>0.6127536861784455</v>
      </c>
      <c r="C24" s="8">
        <v>0.4231291461190454</v>
      </c>
      <c r="D24" s="8">
        <v>-1.1231011437756857</v>
      </c>
      <c r="E24" s="8">
        <v>-1.2716531625341545</v>
      </c>
      <c r="F24" s="8">
        <v>-0.42680972498477593</v>
      </c>
      <c r="I24" s="26">
        <v>-0.2085520538674919</v>
      </c>
      <c r="J24" s="26">
        <v>-0.85611057982371908</v>
      </c>
      <c r="K24" s="26">
        <v>-1.1392916978688803</v>
      </c>
      <c r="L24" s="26">
        <v>-0.29666063446410856</v>
      </c>
      <c r="M24" s="26">
        <v>-0.49700033651111558</v>
      </c>
      <c r="N24" s="26">
        <v>-0.74982927096164687</v>
      </c>
      <c r="O24" s="26">
        <v>-0.49743284000974486</v>
      </c>
      <c r="P24" s="26">
        <v>-0.79399923338042055</v>
      </c>
      <c r="Q24" s="26">
        <v>0.8226354923049628</v>
      </c>
      <c r="R24" s="26">
        <v>0.17470149621197598</v>
      </c>
      <c r="S24" s="26">
        <v>0.65030099473570779</v>
      </c>
      <c r="T24" s="26">
        <v>-0.14433258397801552</v>
      </c>
      <c r="U24" s="26">
        <v>-0.44783333631477373</v>
      </c>
    </row>
    <row r="25" spans="1:21" x14ac:dyDescent="0.25">
      <c r="A25" s="8">
        <v>23</v>
      </c>
      <c r="B25" s="8">
        <v>0.61547220296553284</v>
      </c>
      <c r="C25" s="8">
        <v>2.42357727396453</v>
      </c>
      <c r="D25" s="8">
        <v>-0.69895712339390514</v>
      </c>
      <c r="E25" s="8">
        <v>1.9943788806317215</v>
      </c>
      <c r="F25" s="8">
        <v>0.61204485407544629</v>
      </c>
      <c r="I25" s="26">
        <v>0.13903470257829365</v>
      </c>
      <c r="J25" s="26">
        <v>-0.63212816068378019</v>
      </c>
      <c r="K25" s="26">
        <v>0.79145146193576432</v>
      </c>
      <c r="L25" s="26">
        <v>-4.4986116328875433E-2</v>
      </c>
      <c r="M25" s="26">
        <v>1.7853373368724783</v>
      </c>
      <c r="N25" s="26">
        <v>-0.97304579898580201</v>
      </c>
      <c r="O25" s="26">
        <v>1.4346665824283706</v>
      </c>
      <c r="P25" s="26">
        <v>-0.79399923338042055</v>
      </c>
      <c r="Q25" s="26">
        <v>0.38966944372343126</v>
      </c>
      <c r="R25" s="26">
        <v>0.55546116744296081</v>
      </c>
      <c r="S25" s="26">
        <v>0.86027845947682813</v>
      </c>
      <c r="T25" s="26">
        <v>1.444489812231712</v>
      </c>
      <c r="U25" s="26">
        <v>1.3421957982816177</v>
      </c>
    </row>
    <row r="26" spans="1:21" x14ac:dyDescent="0.25">
      <c r="A26" s="8">
        <v>24</v>
      </c>
      <c r="B26" s="8">
        <v>2.3518610459626177</v>
      </c>
      <c r="C26" s="8">
        <v>-1.6735409314026657</v>
      </c>
      <c r="D26" s="8">
        <v>-0.29305265226800298</v>
      </c>
      <c r="E26" s="8">
        <v>-0.20721160407004624</v>
      </c>
      <c r="F26" s="8">
        <v>0.73739833956560874</v>
      </c>
      <c r="I26" s="26">
        <v>-1.2368295416862054</v>
      </c>
      <c r="J26" s="26">
        <v>1.3986457728515769</v>
      </c>
      <c r="K26" s="26">
        <v>-0.12795004273311278</v>
      </c>
      <c r="L26" s="26">
        <v>-0.31186245099569543</v>
      </c>
      <c r="M26" s="26">
        <v>-1.0273360614467315</v>
      </c>
      <c r="N26" s="26">
        <v>-0.89573382443578287</v>
      </c>
      <c r="O26" s="26">
        <v>0.92907047188382563</v>
      </c>
      <c r="P26" s="26">
        <v>-0.79399923338042055</v>
      </c>
      <c r="Q26" s="26">
        <v>-1.342194750602695</v>
      </c>
      <c r="R26" s="26">
        <v>1.0482089772712193</v>
      </c>
      <c r="S26" s="26">
        <v>0.97588402995227697</v>
      </c>
      <c r="T26" s="26">
        <v>-1.116249580926713</v>
      </c>
      <c r="U26" s="26">
        <v>0.4325088610277133</v>
      </c>
    </row>
    <row r="27" spans="1:21" x14ac:dyDescent="0.25">
      <c r="A27" s="8">
        <v>25</v>
      </c>
      <c r="B27" s="8">
        <v>-2.1597956405783041</v>
      </c>
      <c r="C27" s="8">
        <v>-2.2304438262277659</v>
      </c>
      <c r="D27" s="8">
        <v>-2.0677919233480861</v>
      </c>
      <c r="E27" s="8">
        <v>-1.5063775377593034</v>
      </c>
      <c r="F27" s="8">
        <v>0.44254833553948625</v>
      </c>
      <c r="I27" s="26">
        <v>-0.2085520538674919</v>
      </c>
      <c r="J27" s="26">
        <v>0.80135932181177527</v>
      </c>
      <c r="K27" s="26">
        <v>-1.1699384146911589</v>
      </c>
      <c r="L27" s="26">
        <v>0.73030652678570251</v>
      </c>
      <c r="M27" s="26">
        <v>-0.43639053937565042</v>
      </c>
      <c r="N27" s="26">
        <v>1.119027858198838</v>
      </c>
      <c r="O27" s="26">
        <v>-2.1078918796237467</v>
      </c>
      <c r="P27" s="26">
        <v>-0.79399923338042055</v>
      </c>
      <c r="Q27" s="26">
        <v>-4.3296604858100281E-2</v>
      </c>
      <c r="R27" s="26">
        <v>1.630547297977806</v>
      </c>
      <c r="S27" s="26">
        <v>-0.9799734787038078</v>
      </c>
      <c r="T27" s="26">
        <v>-4.6558898057317642E-3</v>
      </c>
      <c r="U27" s="26">
        <v>-1.9688690217231839</v>
      </c>
    </row>
    <row r="28" spans="1:21" x14ac:dyDescent="0.25">
      <c r="A28" s="8">
        <v>26</v>
      </c>
      <c r="B28" s="8">
        <v>0.23917729356431572</v>
      </c>
      <c r="C28" s="8">
        <v>1.3790831511723876</v>
      </c>
      <c r="D28" s="8">
        <v>-0.44142053333427894</v>
      </c>
      <c r="E28" s="8">
        <v>-0.38322168552870572</v>
      </c>
      <c r="F28" s="8">
        <v>3.2423181357548438</v>
      </c>
      <c r="I28" s="26">
        <v>-0.42579377664610785</v>
      </c>
      <c r="J28" s="26">
        <v>-0.82624625727169188</v>
      </c>
      <c r="K28" s="26">
        <v>-1.2388935275413266</v>
      </c>
      <c r="L28" s="26">
        <v>1.9278718513352329</v>
      </c>
      <c r="M28" s="26">
        <v>0.18296582510272374</v>
      </c>
      <c r="N28" s="26">
        <v>0.45867896279408954</v>
      </c>
      <c r="O28" s="26">
        <v>1.581379739506042</v>
      </c>
      <c r="P28" s="26">
        <v>-0.79399923338042055</v>
      </c>
      <c r="Q28" s="26">
        <v>0.38966944372343126</v>
      </c>
      <c r="R28" s="26">
        <v>1.0482089772712193</v>
      </c>
      <c r="S28" s="26">
        <v>-0.40430492368319165</v>
      </c>
      <c r="T28" s="26">
        <v>0.37945501916804852</v>
      </c>
      <c r="U28" s="26">
        <v>1.3911036981339859</v>
      </c>
    </row>
    <row r="29" spans="1:21" x14ac:dyDescent="0.25">
      <c r="A29" s="8">
        <v>27</v>
      </c>
      <c r="B29" s="8">
        <v>0.92783079512645295</v>
      </c>
      <c r="C29" s="8">
        <v>-1.1581902281304082</v>
      </c>
      <c r="D29" s="8">
        <v>0.24061338768431406</v>
      </c>
      <c r="E29" s="8">
        <v>4.815409642315073E-2</v>
      </c>
      <c r="F29" s="8">
        <v>-0.17118613866232604</v>
      </c>
      <c r="I29" s="26">
        <v>-0.90372556675906301</v>
      </c>
      <c r="J29" s="26">
        <v>-0.57239951557977886</v>
      </c>
      <c r="K29" s="26">
        <v>0.11722369184525262</v>
      </c>
      <c r="L29" s="26">
        <v>-0.8202787594434533</v>
      </c>
      <c r="M29" s="26">
        <v>-0.69966434568293812</v>
      </c>
      <c r="N29" s="26">
        <v>-0.22143389602949176</v>
      </c>
      <c r="O29" s="26">
        <v>-4.2622053068991202E-2</v>
      </c>
      <c r="P29" s="26">
        <v>0.79399923338042055</v>
      </c>
      <c r="Q29" s="26">
        <v>-4.3296604858100281E-2</v>
      </c>
      <c r="R29" s="26">
        <v>0.82423270007667204</v>
      </c>
      <c r="S29" s="26">
        <v>0.33415514894570075</v>
      </c>
      <c r="T29" s="26">
        <v>-0.91255440192549342</v>
      </c>
      <c r="U29" s="26">
        <v>-0.21796620700867661</v>
      </c>
    </row>
    <row r="30" spans="1:21" x14ac:dyDescent="0.25">
      <c r="A30" s="8">
        <v>28</v>
      </c>
      <c r="B30" s="8">
        <v>2.0284369846595536</v>
      </c>
      <c r="C30" s="8">
        <v>-0.58643366232335592</v>
      </c>
      <c r="D30" s="8">
        <v>-2.2254681216075638</v>
      </c>
      <c r="E30" s="8">
        <v>1.1620270233731416</v>
      </c>
      <c r="F30" s="8">
        <v>0.17709783476543603</v>
      </c>
      <c r="I30" s="26">
        <v>-2.1926931219121157</v>
      </c>
      <c r="J30" s="26">
        <v>1.1447990311596639</v>
      </c>
      <c r="K30" s="26">
        <v>9.9601829672228727E-3</v>
      </c>
      <c r="L30" s="26">
        <v>-1.0415496445153207</v>
      </c>
      <c r="M30" s="26">
        <v>0.338278430262481</v>
      </c>
      <c r="N30" s="26">
        <v>-0.62136350873941448</v>
      </c>
      <c r="O30" s="26">
        <v>0.15939067859948192</v>
      </c>
      <c r="P30" s="26">
        <v>-0.79399923338042055</v>
      </c>
      <c r="Q30" s="26">
        <v>1.2556015408864944</v>
      </c>
      <c r="R30" s="26">
        <v>1.0258113495516372</v>
      </c>
      <c r="S30" s="26">
        <v>0.68333115772869191</v>
      </c>
      <c r="T30" s="26">
        <v>-2.2115476577267233E-2</v>
      </c>
      <c r="U30" s="26">
        <v>0.67215757030429446</v>
      </c>
    </row>
    <row r="31" spans="1:21" x14ac:dyDescent="0.25">
      <c r="A31" s="8">
        <v>29</v>
      </c>
      <c r="B31" s="8">
        <v>-2.5558493901450947</v>
      </c>
      <c r="C31" s="8">
        <v>-0.36029658812530729</v>
      </c>
      <c r="D31" s="8">
        <v>0.45814790731876309</v>
      </c>
      <c r="E31" s="8">
        <v>2.9079533911101758</v>
      </c>
      <c r="F31" s="8">
        <v>-7.2246251350108676E-2</v>
      </c>
      <c r="I31" s="26">
        <v>0.6024837111726058</v>
      </c>
      <c r="J31" s="26">
        <v>0.11447990311599822</v>
      </c>
      <c r="K31" s="26">
        <v>1.4273708359983868</v>
      </c>
      <c r="L31" s="26">
        <v>-0.53313333606765889</v>
      </c>
      <c r="M31" s="26">
        <v>1.7929135615144518</v>
      </c>
      <c r="N31" s="26">
        <v>1.1137962208232635</v>
      </c>
      <c r="O31" s="26">
        <v>6.7977096112628532E-2</v>
      </c>
      <c r="P31" s="26">
        <v>2.3819977001412616</v>
      </c>
      <c r="Q31" s="26">
        <v>-0.47626265343963181</v>
      </c>
      <c r="R31" s="26">
        <v>1.4065710207826221</v>
      </c>
      <c r="S31" s="26">
        <v>-1.1309685095288855</v>
      </c>
      <c r="T31" s="26">
        <v>1.6772843025187965</v>
      </c>
      <c r="U31" s="26">
        <v>-0.47228728624094907</v>
      </c>
    </row>
    <row r="32" spans="1:21" x14ac:dyDescent="0.25">
      <c r="A32" s="8">
        <v>30</v>
      </c>
      <c r="B32" s="8">
        <v>2.3274226788621832</v>
      </c>
      <c r="C32" s="8">
        <v>-3.2189118082580896</v>
      </c>
      <c r="D32" s="8">
        <v>0.91695061087972196</v>
      </c>
      <c r="E32" s="8">
        <v>-0.96174476782493756</v>
      </c>
      <c r="F32" s="8">
        <v>0.55148484917752005</v>
      </c>
      <c r="I32" s="26">
        <v>-2.0044169621706827</v>
      </c>
      <c r="J32" s="26">
        <v>1.174663353711638</v>
      </c>
      <c r="K32" s="26">
        <v>-0.87879460487934824</v>
      </c>
      <c r="L32" s="26">
        <v>-1.0820878219330776</v>
      </c>
      <c r="M32" s="26">
        <v>-1.9099662322324473</v>
      </c>
      <c r="N32" s="26">
        <v>-4.995244871926563E-2</v>
      </c>
      <c r="O32" s="26">
        <v>0.60743008905972795</v>
      </c>
      <c r="P32" s="26">
        <v>0.79399923338042055</v>
      </c>
      <c r="Q32" s="26">
        <v>-1.7751607991842264</v>
      </c>
      <c r="R32" s="26">
        <v>0.75703981691792599</v>
      </c>
      <c r="S32" s="26">
        <v>8.8788223854951512E-2</v>
      </c>
      <c r="T32" s="26">
        <v>-2.2511227210765181</v>
      </c>
      <c r="U32" s="26">
        <v>0.14884304188402345</v>
      </c>
    </row>
    <row r="35" spans="3:15" s="27" customFormat="1" ht="26.25" x14ac:dyDescent="0.4">
      <c r="C35" s="30" t="s">
        <v>59</v>
      </c>
    </row>
    <row r="36" spans="3:15" x14ac:dyDescent="0.25">
      <c r="C36" s="26">
        <f t="array" ref="C36:O65">MMULT(B3:F32,W2:AI6)</f>
        <v>-0.10433821061912613</v>
      </c>
      <c r="D36" s="26">
        <v>0.12410002305908714</v>
      </c>
      <c r="E36" s="26">
        <v>-0.60386162776419916</v>
      </c>
      <c r="F36" s="26">
        <v>-0.1101491317496083</v>
      </c>
      <c r="G36" s="26">
        <v>6.0315055958255204E-3</v>
      </c>
      <c r="H36" s="26">
        <v>-0.4850638120488141</v>
      </c>
      <c r="I36" s="26">
        <v>-0.45676707370589681</v>
      </c>
      <c r="J36" s="26">
        <v>-0.33142910412988458</v>
      </c>
      <c r="K36" s="26">
        <v>0.35630034991741205</v>
      </c>
      <c r="L36" s="26">
        <v>-0.20495380468205096</v>
      </c>
      <c r="M36" s="26">
        <v>0.46753927221522507</v>
      </c>
      <c r="N36" s="26">
        <v>3.89482034993298E-2</v>
      </c>
      <c r="O36" s="26">
        <v>-0.30291285625480324</v>
      </c>
    </row>
    <row r="37" spans="3:15" x14ac:dyDescent="0.25">
      <c r="C37" s="26">
        <v>0.67085714563032683</v>
      </c>
      <c r="D37" s="26">
        <v>-0.49677103560898866</v>
      </c>
      <c r="E37" s="26">
        <v>-1.0170741182375242</v>
      </c>
      <c r="F37" s="26">
        <v>0.66982465615656106</v>
      </c>
      <c r="G37" s="26">
        <v>1.5706890164567433</v>
      </c>
      <c r="H37" s="26">
        <v>3.0583987299451658E-2</v>
      </c>
      <c r="I37" s="26">
        <v>-0.79916561128193964</v>
      </c>
      <c r="J37" s="26">
        <v>-0.8749479295677941</v>
      </c>
      <c r="K37" s="26">
        <v>0.92346623255018512</v>
      </c>
      <c r="L37" s="26">
        <v>2.7040145727985396E-2</v>
      </c>
      <c r="M37" s="26">
        <v>-5.711515515462301E-2</v>
      </c>
      <c r="N37" s="26">
        <v>1.6651338667473943</v>
      </c>
      <c r="O37" s="26">
        <v>-0.57176769500011349</v>
      </c>
    </row>
    <row r="38" spans="3:15" x14ac:dyDescent="0.25">
      <c r="C38" s="26">
        <v>-2.3373073712724688</v>
      </c>
      <c r="D38" s="26">
        <v>1.7167713970820151</v>
      </c>
      <c r="E38" s="26">
        <v>0.58843918243522653</v>
      </c>
      <c r="F38" s="26">
        <v>-0.99796790222739129</v>
      </c>
      <c r="G38" s="26">
        <v>-1.0705254774185227</v>
      </c>
      <c r="H38" s="26">
        <v>-1.3730180747901197</v>
      </c>
      <c r="I38" s="26">
        <v>1.160703842002909</v>
      </c>
      <c r="J38" s="26">
        <v>-0.36613785931605786</v>
      </c>
      <c r="K38" s="26">
        <v>1.0995733782142152</v>
      </c>
      <c r="L38" s="26">
        <v>1.3165025558659234</v>
      </c>
      <c r="M38" s="26">
        <v>1.4342545381464118</v>
      </c>
      <c r="N38" s="26">
        <v>-1.0541610723938071</v>
      </c>
      <c r="O38" s="26">
        <v>1.1387337827250406</v>
      </c>
    </row>
    <row r="39" spans="3:15" x14ac:dyDescent="0.25">
      <c r="C39" s="26">
        <v>0.45699262754409459</v>
      </c>
      <c r="D39" s="26">
        <v>0.24555832966485874</v>
      </c>
      <c r="E39" s="26">
        <v>-0.27653468037072015</v>
      </c>
      <c r="F39" s="26">
        <v>1.1406263406782897</v>
      </c>
      <c r="G39" s="26">
        <v>0.89130868396205265</v>
      </c>
      <c r="H39" s="26">
        <v>2.1830030785439578</v>
      </c>
      <c r="I39" s="26">
        <v>-1.621514392746243</v>
      </c>
      <c r="J39" s="26">
        <v>-0.42001859094885452</v>
      </c>
      <c r="K39" s="26">
        <v>-0.63290492402775544</v>
      </c>
      <c r="L39" s="26">
        <v>1.9042919875725306</v>
      </c>
      <c r="M39" s="26">
        <v>-2.1495286367567878</v>
      </c>
      <c r="N39" s="26">
        <v>1.0498800681719489</v>
      </c>
      <c r="O39" s="26">
        <v>-1.8712130551514679</v>
      </c>
    </row>
    <row r="40" spans="3:15" x14ac:dyDescent="0.25">
      <c r="C40" s="26">
        <v>-0.46039985900397706</v>
      </c>
      <c r="D40" s="26">
        <v>1.0801773179783687</v>
      </c>
      <c r="E40" s="26">
        <v>1.9472649753211853</v>
      </c>
      <c r="F40" s="26">
        <v>-1.4047435963085149</v>
      </c>
      <c r="G40" s="26">
        <v>-0.47892203096435032</v>
      </c>
      <c r="H40" s="26">
        <v>0.4441756377077094</v>
      </c>
      <c r="I40" s="26">
        <v>3.8924621365938411E-2</v>
      </c>
      <c r="J40" s="26">
        <v>0.90908979877574636</v>
      </c>
      <c r="K40" s="26">
        <v>-0.51543115916591753</v>
      </c>
      <c r="L40" s="26">
        <v>0.79480373746651867</v>
      </c>
      <c r="M40" s="26">
        <v>-0.43520724878423145</v>
      </c>
      <c r="N40" s="26">
        <v>-0.56296116557864928</v>
      </c>
      <c r="O40" s="26">
        <v>-0.21375625666490639</v>
      </c>
    </row>
    <row r="41" spans="3:15" x14ac:dyDescent="0.25">
      <c r="C41" s="26">
        <v>0.56155583481391402</v>
      </c>
      <c r="D41" s="26">
        <v>0.72652663281540475</v>
      </c>
      <c r="E41" s="26">
        <v>1.4044336348385855</v>
      </c>
      <c r="F41" s="26">
        <v>-1.039388821808457</v>
      </c>
      <c r="G41" s="26">
        <v>0.17300509561724525</v>
      </c>
      <c r="H41" s="26">
        <v>1.3372135497359208</v>
      </c>
      <c r="I41" s="26">
        <v>-1.4675639907490721</v>
      </c>
      <c r="J41" s="26">
        <v>0.82536293017582441</v>
      </c>
      <c r="K41" s="26">
        <v>-0.97930776171368561</v>
      </c>
      <c r="L41" s="26">
        <v>0.70546497272081088</v>
      </c>
      <c r="M41" s="26">
        <v>-1.363592487744838</v>
      </c>
      <c r="N41" s="26">
        <v>0.14320987507230737</v>
      </c>
      <c r="O41" s="26">
        <v>-1.682056033573847</v>
      </c>
    </row>
    <row r="42" spans="3:15" x14ac:dyDescent="0.25">
      <c r="C42" s="26">
        <v>0.71714418666148949</v>
      </c>
      <c r="D42" s="26">
        <v>-0.74000431702308711</v>
      </c>
      <c r="E42" s="26">
        <v>-5.1738041665924897E-2</v>
      </c>
      <c r="F42" s="26">
        <v>0.69854933773556593</v>
      </c>
      <c r="G42" s="26">
        <v>-0.50460185355828069</v>
      </c>
      <c r="H42" s="26">
        <v>0.94231526741478255</v>
      </c>
      <c r="I42" s="26">
        <v>2.2535337006160838E-2</v>
      </c>
      <c r="J42" s="26">
        <v>0.53575455731822286</v>
      </c>
      <c r="K42" s="26">
        <v>-1.2553808697105024</v>
      </c>
      <c r="L42" s="26">
        <v>-0.45952222960495592</v>
      </c>
      <c r="M42" s="26">
        <v>-0.9364661807863669</v>
      </c>
      <c r="N42" s="26">
        <v>-0.53599994111407767</v>
      </c>
      <c r="O42" s="26">
        <v>-0.15448809988849449</v>
      </c>
    </row>
    <row r="43" spans="3:15" x14ac:dyDescent="0.25">
      <c r="C43" s="26">
        <v>0.55271173577598565</v>
      </c>
      <c r="D43" s="26">
        <v>-1.0665669467687688</v>
      </c>
      <c r="E43" s="26">
        <v>-0.5828268010434513</v>
      </c>
      <c r="F43" s="26">
        <v>0.93637063497017348</v>
      </c>
      <c r="G43" s="26">
        <v>-1.3779840909124721E-2</v>
      </c>
      <c r="H43" s="26">
        <v>5.4439538782771801E-2</v>
      </c>
      <c r="I43" s="26">
        <v>0.68777617211597419</v>
      </c>
      <c r="J43" s="26">
        <v>1.1701669910982315E-2</v>
      </c>
      <c r="K43" s="26">
        <v>-0.28709092577899642</v>
      </c>
      <c r="L43" s="26">
        <v>-0.83675376872586571</v>
      </c>
      <c r="M43" s="26">
        <v>-5.0635992706805272E-2</v>
      </c>
      <c r="N43" s="26">
        <v>-3.5078549769885933E-2</v>
      </c>
      <c r="O43" s="26">
        <v>0.6971244505913492</v>
      </c>
    </row>
    <row r="44" spans="3:15" x14ac:dyDescent="0.25">
      <c r="C44" s="26">
        <v>0.24535559514589828</v>
      </c>
      <c r="D44" s="26">
        <v>-0.30318611455302497</v>
      </c>
      <c r="E44" s="26">
        <v>-1.3023618751985329</v>
      </c>
      <c r="F44" s="26">
        <v>-0.12939328310876719</v>
      </c>
      <c r="G44" s="26">
        <v>-0.58463476764013411</v>
      </c>
      <c r="H44" s="26">
        <v>-0.94637363478185854</v>
      </c>
      <c r="I44" s="26">
        <v>-0.74748465455005353</v>
      </c>
      <c r="J44" s="26">
        <v>-0.19832179577348411</v>
      </c>
      <c r="K44" s="26">
        <v>-5.783830882426691E-3</v>
      </c>
      <c r="L44" s="26">
        <v>-1.3477973659938796</v>
      </c>
      <c r="M44" s="26">
        <v>0.89608755112613903</v>
      </c>
      <c r="N44" s="26">
        <v>-0.57755901524794839</v>
      </c>
      <c r="O44" s="26">
        <v>-0.45760259396344283</v>
      </c>
    </row>
    <row r="45" spans="3:15" x14ac:dyDescent="0.25">
      <c r="C45" s="26">
        <v>0.24710572810028025</v>
      </c>
      <c r="D45" s="26">
        <v>0.24208266997146036</v>
      </c>
      <c r="E45" s="26">
        <v>6.41345073704786E-2</v>
      </c>
      <c r="F45" s="26">
        <v>-1.1564503188033499</v>
      </c>
      <c r="G45" s="26">
        <v>0.85935438905833816</v>
      </c>
      <c r="H45" s="26">
        <v>-1.0592133302688489</v>
      </c>
      <c r="I45" s="26">
        <v>-0.6564634735557574</v>
      </c>
      <c r="J45" s="26">
        <v>-0.18892370315659157</v>
      </c>
      <c r="K45" s="26">
        <v>1.050972860476626</v>
      </c>
      <c r="L45" s="26">
        <v>-0.66706752424037397</v>
      </c>
      <c r="M45" s="26">
        <v>0.9936262989751854</v>
      </c>
      <c r="N45" s="26">
        <v>0.83464939344574907</v>
      </c>
      <c r="O45" s="26">
        <v>-0.34113177523459759</v>
      </c>
    </row>
    <row r="46" spans="3:15" x14ac:dyDescent="0.25">
      <c r="C46" s="26">
        <v>0.94943067814428017</v>
      </c>
      <c r="D46" s="26">
        <v>-0.77443261295829269</v>
      </c>
      <c r="E46" s="26">
        <v>0.33029550539723157</v>
      </c>
      <c r="F46" s="26">
        <v>0.84181108924621928</v>
      </c>
      <c r="G46" s="26">
        <v>0.40514102432736071</v>
      </c>
      <c r="H46" s="26">
        <v>1.4002779707939244</v>
      </c>
      <c r="I46" s="26">
        <v>6.9327247967783112E-3</v>
      </c>
      <c r="J46" s="26">
        <v>0.40305007997100817</v>
      </c>
      <c r="K46" s="26">
        <v>-0.93869978451034275</v>
      </c>
      <c r="L46" s="26">
        <v>9.3329165395873714E-2</v>
      </c>
      <c r="M46" s="26">
        <v>-1.3883031600607745</v>
      </c>
      <c r="N46" s="26">
        <v>0.39204269309174433</v>
      </c>
      <c r="O46" s="26">
        <v>-0.21731496179116111</v>
      </c>
    </row>
    <row r="47" spans="3:15" x14ac:dyDescent="0.25">
      <c r="C47" s="26">
        <v>0.66306225706874433</v>
      </c>
      <c r="D47" s="26">
        <v>-3.4370658822625966E-2</v>
      </c>
      <c r="E47" s="26">
        <v>-0.401382254894951</v>
      </c>
      <c r="F47" s="26">
        <v>-1.0018969701229223</v>
      </c>
      <c r="G47" s="26">
        <v>0.34565395591964332</v>
      </c>
      <c r="H47" s="26">
        <v>-0.82764323317771871</v>
      </c>
      <c r="I47" s="26">
        <v>-1.2496021999027225</v>
      </c>
      <c r="J47" s="26">
        <v>2.2223534820057178E-2</v>
      </c>
      <c r="K47" s="26">
        <v>0.34355628485838641</v>
      </c>
      <c r="L47" s="26">
        <v>-1.2296079608981696</v>
      </c>
      <c r="M47" s="26">
        <v>0.74323748531454503</v>
      </c>
      <c r="N47" s="26">
        <v>0.31845966789500041</v>
      </c>
      <c r="O47" s="26">
        <v>-0.9244651980979619</v>
      </c>
    </row>
    <row r="48" spans="3:15" x14ac:dyDescent="0.25">
      <c r="C48" s="26">
        <v>1.9552278482517711</v>
      </c>
      <c r="D48" s="26">
        <v>-1.469124380774913</v>
      </c>
      <c r="E48" s="26">
        <v>0.15985084128960786</v>
      </c>
      <c r="F48" s="26">
        <v>0.56037091644376724</v>
      </c>
      <c r="G48" s="26">
        <v>0.83614573119740154</v>
      </c>
      <c r="H48" s="26">
        <v>1.1428040938144641</v>
      </c>
      <c r="I48" s="26">
        <v>-0.428664130155192</v>
      </c>
      <c r="J48" s="26">
        <v>0.65520051856090011</v>
      </c>
      <c r="K48" s="26">
        <v>-1.0188663633399082</v>
      </c>
      <c r="L48" s="26">
        <v>-1.2028647785750195</v>
      </c>
      <c r="M48" s="26">
        <v>-1.190085468755014</v>
      </c>
      <c r="N48" s="26">
        <v>0.76715389299446002</v>
      </c>
      <c r="O48" s="26">
        <v>-0.4816422833981151</v>
      </c>
    </row>
    <row r="49" spans="3:15" x14ac:dyDescent="0.25">
      <c r="C49" s="26">
        <v>0.24741692317150499</v>
      </c>
      <c r="D49" s="26">
        <v>-0.77788239861380781</v>
      </c>
      <c r="E49" s="26">
        <v>0.29356074279480421</v>
      </c>
      <c r="F49" s="26">
        <v>-0.17537510790469285</v>
      </c>
      <c r="G49" s="26">
        <v>0.29479442210006673</v>
      </c>
      <c r="H49" s="26">
        <v>-1.0012639302661217</v>
      </c>
      <c r="I49" s="26">
        <v>1.440935826925748</v>
      </c>
      <c r="J49" s="26">
        <v>0.19288372788530828</v>
      </c>
      <c r="K49" s="26">
        <v>0.57426205515546158</v>
      </c>
      <c r="L49" s="26">
        <v>-1.2317030320602678</v>
      </c>
      <c r="M49" s="26">
        <v>0.98439234874077652</v>
      </c>
      <c r="N49" s="26">
        <v>0.18925955680732889</v>
      </c>
      <c r="O49" s="26">
        <v>1.5699054813741236</v>
      </c>
    </row>
    <row r="50" spans="3:15" x14ac:dyDescent="0.25">
      <c r="C50" s="26">
        <v>0.59039382963790865</v>
      </c>
      <c r="D50" s="26">
        <v>-0.66646095696084739</v>
      </c>
      <c r="E50" s="26">
        <v>-0.29820105275032516</v>
      </c>
      <c r="F50" s="26">
        <v>0.34213593565997269</v>
      </c>
      <c r="G50" s="26">
        <v>0.4259747305969</v>
      </c>
      <c r="H50" s="26">
        <v>-2.9956678603345319E-2</v>
      </c>
      <c r="I50" s="26">
        <v>0.10395981197942381</v>
      </c>
      <c r="J50" s="26">
        <v>-3.1643476705224417E-2</v>
      </c>
      <c r="K50" s="26">
        <v>4.7298575276021507E-2</v>
      </c>
      <c r="L50" s="26">
        <v>-0.63077511044168388</v>
      </c>
      <c r="M50" s="26">
        <v>1.2255329362284368E-2</v>
      </c>
      <c r="N50" s="26">
        <v>0.41099287650538435</v>
      </c>
      <c r="O50" s="26">
        <v>0.17837218655968115</v>
      </c>
    </row>
    <row r="51" spans="3:15" x14ac:dyDescent="0.25">
      <c r="C51" s="26">
        <v>0.10627182095173898</v>
      </c>
      <c r="D51" s="26">
        <v>-0.17894476042156876</v>
      </c>
      <c r="E51" s="26">
        <v>-0.65089201063664015</v>
      </c>
      <c r="F51" s="26">
        <v>-0.12251937565888532</v>
      </c>
      <c r="G51" s="26">
        <v>-1.1226709539294419</v>
      </c>
      <c r="H51" s="26">
        <v>-0.38491085706680872</v>
      </c>
      <c r="I51" s="26">
        <v>-0.37725037376235554</v>
      </c>
      <c r="J51" s="26">
        <v>0.26992763920849294</v>
      </c>
      <c r="K51" s="26">
        <v>-0.68450381250561543</v>
      </c>
      <c r="L51" s="26">
        <v>-1.0106764355254394</v>
      </c>
      <c r="M51" s="26">
        <v>0.36047954333665433</v>
      </c>
      <c r="N51" s="26">
        <v>-1.148700430226375</v>
      </c>
      <c r="O51" s="26">
        <v>-0.29846895308383592</v>
      </c>
    </row>
    <row r="52" spans="3:15" x14ac:dyDescent="0.25">
      <c r="C52" s="26">
        <v>0.66029325512227222</v>
      </c>
      <c r="D52" s="26">
        <v>-0.67230099412094957</v>
      </c>
      <c r="E52" s="26">
        <v>0.5204207572806292</v>
      </c>
      <c r="F52" s="26">
        <v>0.24115981441873519</v>
      </c>
      <c r="G52" s="26">
        <v>-0.71597219170288184</v>
      </c>
      <c r="H52" s="26">
        <v>0.75387567309340975</v>
      </c>
      <c r="I52" s="26">
        <v>0.41307876867657312</v>
      </c>
      <c r="J52" s="26">
        <v>0.89365863620472208</v>
      </c>
      <c r="K52" s="26">
        <v>-1.343855864203285</v>
      </c>
      <c r="L52" s="26">
        <v>-0.69390090632318557</v>
      </c>
      <c r="M52" s="26">
        <v>-0.75209808605989004</v>
      </c>
      <c r="N52" s="26">
        <v>-0.80505591063217163</v>
      </c>
      <c r="O52" s="26">
        <v>0.20350014053317728</v>
      </c>
    </row>
    <row r="53" spans="3:15" x14ac:dyDescent="0.25">
      <c r="C53" s="26">
        <v>-1.0346264795895759</v>
      </c>
      <c r="D53" s="26">
        <v>-0.15688117780497962</v>
      </c>
      <c r="E53" s="26">
        <v>-1.0243086002202495</v>
      </c>
      <c r="F53" s="26">
        <v>0.69127352576446144</v>
      </c>
      <c r="G53" s="26">
        <v>-0.68800465862478033</v>
      </c>
      <c r="H53" s="26">
        <v>-1.2223847303231048</v>
      </c>
      <c r="I53" s="26">
        <v>1.3938647456886128</v>
      </c>
      <c r="J53" s="26">
        <v>-0.65557149328284947</v>
      </c>
      <c r="K53" s="26">
        <v>0.74814460705663566</v>
      </c>
      <c r="L53" s="26">
        <v>-0.21256317493150112</v>
      </c>
      <c r="M53" s="26">
        <v>1.2640909694126532</v>
      </c>
      <c r="N53" s="26">
        <v>-0.65821857257352312</v>
      </c>
      <c r="O53" s="26">
        <v>1.5120861486085886</v>
      </c>
    </row>
    <row r="54" spans="3:15" x14ac:dyDescent="0.25">
      <c r="C54" s="26">
        <v>1.0437173718197885</v>
      </c>
      <c r="D54" s="26">
        <v>-0.43857816746812395</v>
      </c>
      <c r="E54" s="26">
        <v>-0.53451828903552401</v>
      </c>
      <c r="F54" s="26">
        <v>0.64028359386941947</v>
      </c>
      <c r="G54" s="26">
        <v>1.8663276502088397</v>
      </c>
      <c r="H54" s="26">
        <v>0.8327215925792083</v>
      </c>
      <c r="I54" s="26">
        <v>-1.2552184814781757</v>
      </c>
      <c r="J54" s="26">
        <v>-0.62215958691579754</v>
      </c>
      <c r="K54" s="26">
        <v>0.50061366018892106</v>
      </c>
      <c r="L54" s="26">
        <v>0.42572148947666461</v>
      </c>
      <c r="M54" s="26">
        <v>-0.86035098597942461</v>
      </c>
      <c r="N54" s="26">
        <v>1.96146005736921</v>
      </c>
      <c r="O54" s="26">
        <v>-1.1500558022377958</v>
      </c>
    </row>
    <row r="55" spans="3:15" x14ac:dyDescent="0.25">
      <c r="C55" s="26">
        <v>0.20799187285924495</v>
      </c>
      <c r="D55" s="26">
        <v>-0.48789918109090502</v>
      </c>
      <c r="E55" s="26">
        <v>1.1014768279723572</v>
      </c>
      <c r="F55" s="26">
        <v>-0.4624094204891312</v>
      </c>
      <c r="G55" s="26">
        <v>5.1409975748651214E-2</v>
      </c>
      <c r="H55" s="26">
        <v>-0.42757196663896985</v>
      </c>
      <c r="I55" s="26">
        <v>1.4585854303616086</v>
      </c>
      <c r="J55" s="26">
        <v>0.65112059322200599</v>
      </c>
      <c r="K55" s="26">
        <v>4.7408524878738131E-2</v>
      </c>
      <c r="L55" s="26">
        <v>-0.80749298708270867</v>
      </c>
      <c r="M55" s="26">
        <v>0.42312499317024033</v>
      </c>
      <c r="N55" s="26">
        <v>-8.4412347908550386E-2</v>
      </c>
      <c r="O55" s="26">
        <v>1.409888423595782</v>
      </c>
    </row>
    <row r="56" spans="3:15" x14ac:dyDescent="0.25">
      <c r="C56" s="26">
        <v>-0.46131715443457616</v>
      </c>
      <c r="D56" s="26">
        <v>0.17221134483473427</v>
      </c>
      <c r="E56" s="26">
        <v>0.45586534159556141</v>
      </c>
      <c r="F56" s="26">
        <v>-1.000278817562235</v>
      </c>
      <c r="G56" s="26">
        <v>-0.75712566044114804</v>
      </c>
      <c r="H56" s="26">
        <v>-1.2699594127361005</v>
      </c>
      <c r="I56" s="26">
        <v>0.86257436320233682</v>
      </c>
      <c r="J56" s="26">
        <v>0.39556598507735802</v>
      </c>
      <c r="K56" s="26">
        <v>0.26346169342013848</v>
      </c>
      <c r="L56" s="26">
        <v>-0.94555724533640817</v>
      </c>
      <c r="M56" s="26">
        <v>1.2517059965241357</v>
      </c>
      <c r="N56" s="26">
        <v>-0.86031051812292814</v>
      </c>
      <c r="O56" s="26">
        <v>0.9717903940814735</v>
      </c>
    </row>
    <row r="57" spans="3:15" x14ac:dyDescent="0.25">
      <c r="C57" s="26">
        <v>-0.25809473353506396</v>
      </c>
      <c r="D57" s="26">
        <v>7.4448521842124152E-2</v>
      </c>
      <c r="E57" s="26">
        <v>-1.1781159586253127</v>
      </c>
      <c r="F57" s="26">
        <v>0.15858293347469501</v>
      </c>
      <c r="G57" s="26">
        <v>-0.13309841159741495</v>
      </c>
      <c r="H57" s="26">
        <v>-0.73223816176030498</v>
      </c>
      <c r="I57" s="26">
        <v>-0.50717688368615843</v>
      </c>
      <c r="J57" s="26">
        <v>-0.61618704656710388</v>
      </c>
      <c r="K57" s="26">
        <v>0.50804440134331952</v>
      </c>
      <c r="L57" s="26">
        <v>-0.28222392276517155</v>
      </c>
      <c r="M57" s="26">
        <v>0.71765491683000704</v>
      </c>
      <c r="N57" s="26">
        <v>-6.8526874062652829E-2</v>
      </c>
      <c r="O57" s="26">
        <v>-0.28562540816210491</v>
      </c>
    </row>
    <row r="58" spans="3:15" x14ac:dyDescent="0.25">
      <c r="C58" s="26">
        <v>2.7327782003187695E-2</v>
      </c>
      <c r="D58" s="26">
        <v>-0.38115768683227197</v>
      </c>
      <c r="E58" s="26">
        <v>0.6443390565306395</v>
      </c>
      <c r="F58" s="26">
        <v>5.0400459267256392E-2</v>
      </c>
      <c r="G58" s="26">
        <v>1.4730226730385991</v>
      </c>
      <c r="H58" s="26">
        <v>-0.50010840987945393</v>
      </c>
      <c r="I58" s="26">
        <v>1.3601862423608106</v>
      </c>
      <c r="J58" s="26">
        <v>-0.31655842544687884</v>
      </c>
      <c r="K58" s="26">
        <v>1.3314261392480755</v>
      </c>
      <c r="L58" s="26">
        <v>0.12223065111372872</v>
      </c>
      <c r="M58" s="26">
        <v>0.5100648634549293</v>
      </c>
      <c r="N58" s="26">
        <v>1.4394193434667149</v>
      </c>
      <c r="O58" s="26">
        <v>1.4281207127488194</v>
      </c>
    </row>
    <row r="59" spans="3:15" x14ac:dyDescent="0.25">
      <c r="C59" s="26">
        <v>-1.5209273985364784</v>
      </c>
      <c r="D59" s="26">
        <v>0.99298763515458432</v>
      </c>
      <c r="E59" s="26">
        <v>-5.8157435591172119E-2</v>
      </c>
      <c r="F59" s="26">
        <v>-0.17440709399641929</v>
      </c>
      <c r="G59" s="26">
        <v>-1.4034890394263635</v>
      </c>
      <c r="H59" s="26">
        <v>-0.51023393397631966</v>
      </c>
      <c r="I59" s="26">
        <v>0.56480152068569955</v>
      </c>
      <c r="J59" s="26">
        <v>-0.14773042998916786</v>
      </c>
      <c r="K59" s="26">
        <v>1.2606314047491476E-2</v>
      </c>
      <c r="L59" s="26">
        <v>0.82433220963170095</v>
      </c>
      <c r="M59" s="26">
        <v>0.56361984825615519</v>
      </c>
      <c r="N59" s="26">
        <v>-1.3725897176386792</v>
      </c>
      <c r="O59" s="26">
        <v>0.46820941635932156</v>
      </c>
    </row>
    <row r="60" spans="3:15" x14ac:dyDescent="0.25">
      <c r="C60" s="26">
        <v>-0.40317242443581947</v>
      </c>
      <c r="D60" s="26">
        <v>0.85029193694404781</v>
      </c>
      <c r="E60" s="26">
        <v>-1.2349122977995939</v>
      </c>
      <c r="F60" s="26">
        <v>0.71373561318355061</v>
      </c>
      <c r="G60" s="26">
        <v>-0.18717245667730156</v>
      </c>
      <c r="H60" s="26">
        <v>1.0142422295594231</v>
      </c>
      <c r="I60" s="26">
        <v>-2.0028158959663602</v>
      </c>
      <c r="J60" s="26">
        <v>-0.78661555183555687</v>
      </c>
      <c r="K60" s="26">
        <v>-0.32895589696009209</v>
      </c>
      <c r="L60" s="26">
        <v>1.5714963225912708</v>
      </c>
      <c r="M60" s="26">
        <v>-0.9907470003579385</v>
      </c>
      <c r="N60" s="26">
        <v>7.2437477086329805E-3</v>
      </c>
      <c r="O60" s="26">
        <v>-2.0511485214510694</v>
      </c>
    </row>
    <row r="61" spans="3:15" x14ac:dyDescent="0.25">
      <c r="C61" s="26">
        <v>-0.49959678593849932</v>
      </c>
      <c r="D61" s="26">
        <v>-0.72802004346355575</v>
      </c>
      <c r="E61" s="26">
        <v>-1.0204150042693856</v>
      </c>
      <c r="F61" s="26">
        <v>2.1718938578553577</v>
      </c>
      <c r="G61" s="26">
        <v>0.24245727586169824</v>
      </c>
      <c r="H61" s="26">
        <v>0.42808146583112633</v>
      </c>
      <c r="I61" s="26">
        <v>1.4966256120537431</v>
      </c>
      <c r="J61" s="26">
        <v>-0.88027567573155352</v>
      </c>
      <c r="K61" s="26">
        <v>0.35330540029382357</v>
      </c>
      <c r="L61" s="26">
        <v>0.90349455571581117</v>
      </c>
      <c r="M61" s="26">
        <v>-0.33809826644007579</v>
      </c>
      <c r="N61" s="26">
        <v>0.34558339374495345</v>
      </c>
      <c r="O61" s="26">
        <v>1.3578497298370156</v>
      </c>
    </row>
    <row r="62" spans="3:15" x14ac:dyDescent="0.25">
      <c r="C62" s="26">
        <v>-0.54753653378359357</v>
      </c>
      <c r="D62" s="26">
        <v>0.5473758752516692</v>
      </c>
      <c r="E62" s="26">
        <v>0.30343045375902944</v>
      </c>
      <c r="F62" s="26">
        <v>-0.46516543485736556</v>
      </c>
      <c r="G62" s="26">
        <v>-0.75873007831641959</v>
      </c>
      <c r="H62" s="26">
        <v>-0.16672192318823564</v>
      </c>
      <c r="I62" s="26">
        <v>4.8879435193202245E-2</v>
      </c>
      <c r="J62" s="26">
        <v>0.21974428235265828</v>
      </c>
      <c r="K62" s="26">
        <v>-0.23158077888370565</v>
      </c>
      <c r="L62" s="26">
        <v>0.21152260546182167</v>
      </c>
      <c r="M62" s="26">
        <v>0.17727911233450283</v>
      </c>
      <c r="N62" s="26">
        <v>-0.7744936838153389</v>
      </c>
      <c r="O62" s="26">
        <v>-1.1968291171439223E-2</v>
      </c>
    </row>
    <row r="63" spans="3:15" x14ac:dyDescent="0.25">
      <c r="C63" s="26">
        <v>-1.569968997326104</v>
      </c>
      <c r="D63" s="26">
        <v>1.3461377963768066</v>
      </c>
      <c r="E63" s="26">
        <v>0.2109377126059731</v>
      </c>
      <c r="F63" s="26">
        <v>-0.65610043836225795</v>
      </c>
      <c r="G63" s="26">
        <v>1.7202194619569261E-2</v>
      </c>
      <c r="H63" s="26">
        <v>-0.92346437984020202</v>
      </c>
      <c r="I63" s="26">
        <v>0.33469694739272143</v>
      </c>
      <c r="J63" s="26">
        <v>-0.67696497755861118</v>
      </c>
      <c r="K63" s="26">
        <v>1.3264994385568929</v>
      </c>
      <c r="L63" s="26">
        <v>1.3310930027061334</v>
      </c>
      <c r="M63" s="26">
        <v>0.95905339828551794</v>
      </c>
      <c r="N63" s="26">
        <v>8.0514008574616353E-2</v>
      </c>
      <c r="O63" s="26">
        <v>0.3999081143778378</v>
      </c>
    </row>
    <row r="64" spans="3:15" x14ac:dyDescent="0.25">
      <c r="C64" s="26">
        <v>0.82757525749209215</v>
      </c>
      <c r="D64" s="26">
        <v>0.11320805676598684</v>
      </c>
      <c r="E64" s="26">
        <v>2.154698896960304</v>
      </c>
      <c r="F64" s="26">
        <v>-0.6351709175106699</v>
      </c>
      <c r="G64" s="26">
        <v>1.448150583590353</v>
      </c>
      <c r="H64" s="26">
        <v>1.4247086946780798</v>
      </c>
      <c r="I64" s="26">
        <v>-6.8367716113191632E-2</v>
      </c>
      <c r="J64" s="26">
        <v>0.7481442805367795</v>
      </c>
      <c r="K64" s="26">
        <v>-0.23664399113462459</v>
      </c>
      <c r="L64" s="26">
        <v>0.88587897236256918</v>
      </c>
      <c r="M64" s="26">
        <v>-1.4294976133832291</v>
      </c>
      <c r="N64" s="26">
        <v>1.3779006251943859</v>
      </c>
      <c r="O64" s="26">
        <v>-0.33976589888032477</v>
      </c>
    </row>
    <row r="65" spans="3:19" x14ac:dyDescent="0.25">
      <c r="C65" s="26">
        <v>-1.5331458017187289</v>
      </c>
      <c r="D65" s="26">
        <v>1.1407038955449162</v>
      </c>
      <c r="E65" s="26">
        <v>5.6151611950851679E-2</v>
      </c>
      <c r="F65" s="26">
        <v>-0.3256020782533382</v>
      </c>
      <c r="G65" s="26">
        <v>-2.4879414866931748</v>
      </c>
      <c r="H65" s="26">
        <v>-0.1283163104887878</v>
      </c>
      <c r="I65" s="26">
        <v>0.24299347584457623</v>
      </c>
      <c r="J65" s="26">
        <v>0.38005741290516631</v>
      </c>
      <c r="K65" s="26">
        <v>-1.0279339526652762</v>
      </c>
      <c r="L65" s="26">
        <v>0.64625787337589524</v>
      </c>
      <c r="M65" s="26">
        <v>0.18325981748547027</v>
      </c>
      <c r="N65" s="26">
        <v>-2.4837834712046392</v>
      </c>
      <c r="O65" s="26">
        <v>1.9894702613250631E-2</v>
      </c>
    </row>
    <row r="67" spans="3:19" s="28" customFormat="1" ht="26.25" x14ac:dyDescent="0.4">
      <c r="C67" s="30" t="s">
        <v>57</v>
      </c>
      <c r="Q67" s="29"/>
    </row>
    <row r="68" spans="3:19" ht="26.25" x14ac:dyDescent="0.4">
      <c r="C68" s="30" t="s">
        <v>58</v>
      </c>
      <c r="Q68" s="2" t="s">
        <v>68</v>
      </c>
      <c r="R68" s="23"/>
      <c r="S68" t="s">
        <v>69</v>
      </c>
    </row>
    <row r="69" spans="3:19" x14ac:dyDescent="0.25">
      <c r="C69">
        <f t="array" ref="C69:O98">I3:U32-C36:O65</f>
        <v>0.12751066104879027</v>
      </c>
      <c r="D69">
        <v>-0.84582115139884295</v>
      </c>
      <c r="E69">
        <v>-0.56607678692695973</v>
      </c>
      <c r="F69">
        <v>-1.218545936141507</v>
      </c>
      <c r="G69">
        <v>-0.1602076770593083</v>
      </c>
      <c r="H69">
        <v>9.505493391774128E-2</v>
      </c>
      <c r="I69">
        <v>0.14103283592310206</v>
      </c>
      <c r="J69">
        <v>-0.46257012925053598</v>
      </c>
      <c r="K69">
        <v>-0.39959695477551233</v>
      </c>
      <c r="L69">
        <v>0.6708244612466836</v>
      </c>
      <c r="M69">
        <v>-9.3276068206614382E-2</v>
      </c>
      <c r="N69">
        <v>0.11353218763875765</v>
      </c>
      <c r="O69">
        <v>0.26590587869985566</v>
      </c>
      <c r="Q69" s="2">
        <f>C69^2+D69^2+E69^2+F69^2+G69^2+H69^2+I69^2+J69^2+K69^2+L69^2+M69^2+N69^2+O69^2</f>
        <v>3.5075119444835474</v>
      </c>
      <c r="S69">
        <v>3.5071222588134212</v>
      </c>
    </row>
    <row r="70" spans="3:19" x14ac:dyDescent="0.25">
      <c r="C70">
        <v>0.36611001109951091</v>
      </c>
      <c r="D70">
        <v>-0.2398822540067807</v>
      </c>
      <c r="E70">
        <v>6.1662721302424894E-2</v>
      </c>
      <c r="F70">
        <v>8.9196412966711325E-2</v>
      </c>
      <c r="G70">
        <v>0.26010566826736081</v>
      </c>
      <c r="H70">
        <v>-0.39327209246922085</v>
      </c>
      <c r="I70">
        <v>-8.3107125369969115E-2</v>
      </c>
      <c r="J70">
        <v>8.0948696187373548E-2</v>
      </c>
      <c r="K70">
        <v>-0.53379678882675385</v>
      </c>
      <c r="L70">
        <v>0.66280678803183102</v>
      </c>
      <c r="M70">
        <v>0.51867236135897943</v>
      </c>
      <c r="N70">
        <v>-0.15080570742954036</v>
      </c>
      <c r="O70">
        <v>-3.2261809307965184E-3</v>
      </c>
      <c r="Q70" s="2">
        <f>C70^2+D70^2+E70^2+F70^2+G70^2+H70^2+I70^2+J70^2+K70^2+L70^2+M70^2+N70^2+O70^2</f>
        <v>1.4551413484780804</v>
      </c>
      <c r="S70">
        <v>1.4549679362814603</v>
      </c>
    </row>
    <row r="71" spans="3:19" x14ac:dyDescent="0.25">
      <c r="C71">
        <v>0.78185663617766088</v>
      </c>
      <c r="D71">
        <v>0.8017864714692029</v>
      </c>
      <c r="E71">
        <v>0.61674295660151734</v>
      </c>
      <c r="F71">
        <v>0.73677817300384407</v>
      </c>
      <c r="G71">
        <v>-0.50987498288963784</v>
      </c>
      <c r="H71">
        <v>-5.7702673228952062E-3</v>
      </c>
      <c r="I71">
        <v>-0.16504816806076339</v>
      </c>
      <c r="J71">
        <v>-0.4278613740643627</v>
      </c>
      <c r="K71">
        <v>0.58899421125381068</v>
      </c>
      <c r="L71">
        <v>-0.35788408947239558</v>
      </c>
      <c r="M71">
        <v>-6.6727146991588882E-2</v>
      </c>
      <c r="N71">
        <v>-0.10864740659038885</v>
      </c>
      <c r="O71">
        <v>9.5864635881391713E-2</v>
      </c>
      <c r="Q71" s="2">
        <f t="shared" ref="Q71:Q98" si="0">C71^2+D71^2+E71^2+F71^2+G71^2+H71^2+I71^2+J71^2+K71^2+L71^2+M71^2+N71^2+O71^2</f>
        <v>3.1481293453618009</v>
      </c>
      <c r="S71">
        <v>3.1478782551134143</v>
      </c>
    </row>
    <row r="72" spans="3:19" x14ac:dyDescent="0.25">
      <c r="C72">
        <v>-0.27450958041007778</v>
      </c>
      <c r="D72">
        <v>-0.45958597462078854</v>
      </c>
      <c r="E72">
        <v>0.72321057805564526</v>
      </c>
      <c r="F72">
        <v>0.42071282317143055</v>
      </c>
      <c r="G72">
        <v>-0.14959629151641984</v>
      </c>
      <c r="H72">
        <v>-9.147196153158399E-2</v>
      </c>
      <c r="I72">
        <v>-0.14103728637162916</v>
      </c>
      <c r="J72">
        <v>-0.37398064243156603</v>
      </c>
      <c r="K72">
        <v>0.15664227058812363</v>
      </c>
      <c r="L72">
        <v>-0.13935892327786914</v>
      </c>
      <c r="M72">
        <v>0.17157237619348686</v>
      </c>
      <c r="N72">
        <v>-8.8438823286023927E-2</v>
      </c>
      <c r="O72">
        <v>-0.39110336568587289</v>
      </c>
      <c r="Q72" s="2">
        <f t="shared" si="0"/>
        <v>1.4112848636598974</v>
      </c>
      <c r="S72">
        <v>1.4112024656700037</v>
      </c>
    </row>
    <row r="73" spans="3:19" x14ac:dyDescent="0.25">
      <c r="C73">
        <v>0.46908952791510111</v>
      </c>
      <c r="D73">
        <v>0.70670464804908439</v>
      </c>
      <c r="E73">
        <v>0.35353729011263324</v>
      </c>
      <c r="F73">
        <v>0.62669210500861439</v>
      </c>
      <c r="G73">
        <v>-0.10520488892908392</v>
      </c>
      <c r="H73">
        <v>-0.15988458743249112</v>
      </c>
      <c r="I73">
        <v>-5.4461168512898978E-2</v>
      </c>
      <c r="J73">
        <v>-0.11509056539532581</v>
      </c>
      <c r="K73">
        <v>3.9168505726285718E-2</v>
      </c>
      <c r="L73">
        <v>-0.19454731458503038</v>
      </c>
      <c r="M73">
        <v>0.12055562465342184</v>
      </c>
      <c r="N73">
        <v>-6.2213631733407659E-3</v>
      </c>
      <c r="O73">
        <v>2.0243999582405164E-2</v>
      </c>
      <c r="Q73" s="2">
        <f t="shared" si="0"/>
        <v>1.3444160747934308</v>
      </c>
      <c r="S73">
        <v>1.3440523689363422</v>
      </c>
    </row>
    <row r="74" spans="3:19" x14ac:dyDescent="0.25">
      <c r="C74">
        <v>0.113341783951598</v>
      </c>
      <c r="D74">
        <v>-0.23874269779954382</v>
      </c>
      <c r="E74">
        <v>0.12253903083227491</v>
      </c>
      <c r="F74">
        <v>-8.6615358993873404E-2</v>
      </c>
      <c r="G74">
        <v>-0.42188407510491249</v>
      </c>
      <c r="H74">
        <v>0.44216320386769858</v>
      </c>
      <c r="I74">
        <v>-8.9589268460073201E-2</v>
      </c>
      <c r="J74">
        <v>-3.136369679540385E-2</v>
      </c>
      <c r="K74">
        <v>1.3689772054371168</v>
      </c>
      <c r="L74">
        <v>-0.28438957159470568</v>
      </c>
      <c r="M74">
        <v>-0.56953712304227211</v>
      </c>
      <c r="N74">
        <v>-0.46213832676567757</v>
      </c>
      <c r="O74">
        <v>-3.2491908917064549E-2</v>
      </c>
      <c r="Q74" s="2">
        <f t="shared" si="0"/>
        <v>2.9688429695868077</v>
      </c>
      <c r="S74">
        <v>2.9687721442469699</v>
      </c>
    </row>
    <row r="75" spans="3:19" x14ac:dyDescent="0.25">
      <c r="C75">
        <v>0.91361701232993286</v>
      </c>
      <c r="D75">
        <v>0.92914502651904729</v>
      </c>
      <c r="E75">
        <v>0.40647378888395963</v>
      </c>
      <c r="F75">
        <v>0.14999353985191166</v>
      </c>
      <c r="G75">
        <v>-0.31628208639569544</v>
      </c>
      <c r="H75">
        <v>-6.9174365867544885E-2</v>
      </c>
      <c r="I75">
        <v>0.22714036133341783</v>
      </c>
      <c r="J75">
        <v>-1.3297537906986434</v>
      </c>
      <c r="K75">
        <v>-0.51977992947372398</v>
      </c>
      <c r="L75">
        <v>-0.23928375524294798</v>
      </c>
      <c r="M75">
        <v>0.10276913819435574</v>
      </c>
      <c r="N75">
        <v>0.15305300459177168</v>
      </c>
      <c r="O75">
        <v>0.1468258622449643</v>
      </c>
      <c r="Q75" s="2">
        <f t="shared" si="0"/>
        <v>4.1933553096734535</v>
      </c>
      <c r="S75">
        <v>4.1933516544757587</v>
      </c>
    </row>
    <row r="76" spans="3:19" x14ac:dyDescent="0.25">
      <c r="C76">
        <v>6.3236308408969322E-3</v>
      </c>
      <c r="D76">
        <v>0.55389607629293824</v>
      </c>
      <c r="E76">
        <v>-0.44153970874181592</v>
      </c>
      <c r="F76">
        <v>0.10979585752889331</v>
      </c>
      <c r="G76">
        <v>0.1512883181602227</v>
      </c>
      <c r="H76">
        <v>0.22403858107515628</v>
      </c>
      <c r="I76">
        <v>0.15552353101474914</v>
      </c>
      <c r="J76">
        <v>0.78229756346943824</v>
      </c>
      <c r="K76">
        <v>0.67676036950242768</v>
      </c>
      <c r="L76">
        <v>-0.31000477051113262</v>
      </c>
      <c r="M76">
        <v>-0.37962120189945314</v>
      </c>
      <c r="N76">
        <v>-0.19073210580860084</v>
      </c>
      <c r="O76">
        <v>1.4159439594829348E-2</v>
      </c>
      <c r="Q76" s="2">
        <f t="shared" si="0"/>
        <v>1.9579108222136017</v>
      </c>
      <c r="S76">
        <v>1.9578891322207834</v>
      </c>
    </row>
    <row r="77" spans="3:19" x14ac:dyDescent="0.25">
      <c r="C77">
        <v>0.11092083021101129</v>
      </c>
      <c r="D77">
        <v>-0.37373852995874307</v>
      </c>
      <c r="E77">
        <v>6.3468347657206214E-2</v>
      </c>
      <c r="F77">
        <v>-0.43583277674795728</v>
      </c>
      <c r="G77">
        <v>-0.18132154365974928</v>
      </c>
      <c r="H77">
        <v>0.24653556540892729</v>
      </c>
      <c r="I77">
        <v>1.0796512229059529E-2</v>
      </c>
      <c r="J77">
        <v>-0.59567743760693648</v>
      </c>
      <c r="K77">
        <v>0.39545327460585794</v>
      </c>
      <c r="L77">
        <v>-2.293745043830242E-2</v>
      </c>
      <c r="M77">
        <v>-0.30240969294983755</v>
      </c>
      <c r="N77">
        <v>-0.29425635087735069</v>
      </c>
      <c r="O77">
        <v>5.3786367515795186E-2</v>
      </c>
      <c r="Q77" s="2">
        <f t="shared" si="0"/>
        <v>1.1324086361308443</v>
      </c>
      <c r="S77">
        <v>1.1321103756579545</v>
      </c>
    </row>
    <row r="78" spans="3:19" x14ac:dyDescent="0.25">
      <c r="C78">
        <v>-0.15151937007770983</v>
      </c>
      <c r="D78">
        <v>1.0520379739481802</v>
      </c>
      <c r="E78">
        <v>-0.86631232019410298</v>
      </c>
      <c r="F78">
        <v>-2.8672037399916084E-2</v>
      </c>
      <c r="G78">
        <v>0.10396257416394328</v>
      </c>
      <c r="H78">
        <v>0.15301623108195028</v>
      </c>
      <c r="I78">
        <v>0.29107247491591187</v>
      </c>
      <c r="J78">
        <v>0.98292293653701213</v>
      </c>
      <c r="K78">
        <v>-0.22833736817166317</v>
      </c>
      <c r="L78">
        <v>-0.34530524867976864</v>
      </c>
      <c r="M78">
        <v>-0.17345589456126731</v>
      </c>
      <c r="N78">
        <v>0.62148014330029233</v>
      </c>
      <c r="O78">
        <v>0.24054452787159056</v>
      </c>
      <c r="Q78" s="2">
        <f t="shared" si="0"/>
        <v>3.6117038628449523</v>
      </c>
      <c r="S78">
        <v>3.6118067412798665</v>
      </c>
    </row>
    <row r="79" spans="3:19" x14ac:dyDescent="0.25">
      <c r="C79">
        <v>-0.46280921912020101</v>
      </c>
      <c r="D79">
        <v>-0.23099957962535023</v>
      </c>
      <c r="E79">
        <v>0.4994643525663946</v>
      </c>
      <c r="F79">
        <v>-0.20778273382761758</v>
      </c>
      <c r="G79">
        <v>0.10170840421822352</v>
      </c>
      <c r="H79">
        <v>0.39653757406156553</v>
      </c>
      <c r="I79">
        <v>-0.363295221462619</v>
      </c>
      <c r="J79">
        <v>-1.1970493133514286</v>
      </c>
      <c r="K79">
        <v>2.9471082489179401E-2</v>
      </c>
      <c r="L79">
        <v>-0.61295412848775799</v>
      </c>
      <c r="M79">
        <v>-0.31125601241879308</v>
      </c>
      <c r="N79">
        <v>-0.31522051129692208</v>
      </c>
      <c r="O79">
        <v>0.2976869438818831</v>
      </c>
      <c r="Q79" s="2">
        <f t="shared" si="0"/>
        <v>2.9541317076152813</v>
      </c>
      <c r="S79">
        <v>2.9541923390532911</v>
      </c>
    </row>
    <row r="80" spans="3:19" x14ac:dyDescent="0.25">
      <c r="C80">
        <v>0.27252542903110688</v>
      </c>
      <c r="D80">
        <v>0.46242594873453857</v>
      </c>
      <c r="E80">
        <v>0.31174060818970017</v>
      </c>
      <c r="F80">
        <v>0.13939094253601214</v>
      </c>
      <c r="G80">
        <v>0.12710246173722162</v>
      </c>
      <c r="H80">
        <v>-6.3440246924205579E-2</v>
      </c>
      <c r="I80">
        <v>0.11453140797853334</v>
      </c>
      <c r="J80">
        <v>-0.81622276820047768</v>
      </c>
      <c r="K80">
        <v>-0.38685288971648668</v>
      </c>
      <c r="L80">
        <v>-0.25311499413128602</v>
      </c>
      <c r="M80">
        <v>3.6824864036463123E-2</v>
      </c>
      <c r="N80">
        <v>-0.10778065418510049</v>
      </c>
      <c r="O80">
        <v>7.1160232005272883E-3</v>
      </c>
      <c r="Q80" s="2">
        <f t="shared" si="0"/>
        <v>1.330982396989191</v>
      </c>
      <c r="S80">
        <v>1.3311695678172561</v>
      </c>
    </row>
    <row r="81" spans="3:19" x14ac:dyDescent="0.25">
      <c r="C81">
        <v>0.18243070388968641</v>
      </c>
      <c r="D81">
        <v>0.46369218819127012</v>
      </c>
      <c r="E81">
        <v>-0.43337278892861231</v>
      </c>
      <c r="F81">
        <v>-0.1830843513376903</v>
      </c>
      <c r="G81">
        <v>0.1574761305926663</v>
      </c>
      <c r="H81">
        <v>-0.16386785867243903</v>
      </c>
      <c r="I81">
        <v>6.8449941777879997E-3</v>
      </c>
      <c r="J81">
        <v>0.13879871481952044</v>
      </c>
      <c r="K81">
        <v>-0.75629443584431821</v>
      </c>
      <c r="L81">
        <v>0.19049200565487689</v>
      </c>
      <c r="M81">
        <v>0.13697377199531191</v>
      </c>
      <c r="N81">
        <v>0.3630633573496137</v>
      </c>
      <c r="O81">
        <v>0.4006181959760588</v>
      </c>
      <c r="Q81" s="2">
        <f t="shared" si="0"/>
        <v>1.4599268375121768</v>
      </c>
      <c r="S81">
        <v>1.4598195264278639</v>
      </c>
    </row>
    <row r="82" spans="3:19" x14ac:dyDescent="0.25">
      <c r="C82">
        <v>0.35506678800110081</v>
      </c>
      <c r="D82">
        <v>0.19055072175801535</v>
      </c>
      <c r="E82">
        <v>0.95759147147538504</v>
      </c>
      <c r="F82">
        <v>0.61515802986320112</v>
      </c>
      <c r="G82">
        <v>-0.30502232536669865</v>
      </c>
      <c r="H82">
        <v>8.9735831901616159E-4</v>
      </c>
      <c r="I82">
        <v>-4.3511815140169441E-2</v>
      </c>
      <c r="J82">
        <v>-0.98688296126572883</v>
      </c>
      <c r="K82">
        <v>0.24837343714950122</v>
      </c>
      <c r="L82">
        <v>-0.36300806156646148</v>
      </c>
      <c r="M82">
        <v>0.15192390146314871</v>
      </c>
      <c r="N82">
        <v>-0.2288346201561316</v>
      </c>
      <c r="O82">
        <v>-0.2961807428858072</v>
      </c>
      <c r="Q82" s="2">
        <f t="shared" si="0"/>
        <v>2.8832869156868264</v>
      </c>
      <c r="S82">
        <v>2.8832592891148221</v>
      </c>
    </row>
    <row r="83" spans="3:19" x14ac:dyDescent="0.25">
      <c r="C83">
        <v>-0.75549753894967742</v>
      </c>
      <c r="D83">
        <v>-0.44349636455478481</v>
      </c>
      <c r="E83">
        <v>-7.4922724561153009E-2</v>
      </c>
      <c r="F83">
        <v>0.11622698428161815</v>
      </c>
      <c r="G83">
        <v>2.7841125455084992E-2</v>
      </c>
      <c r="H83">
        <v>0.31308514279509897</v>
      </c>
      <c r="I83">
        <v>-0.11498210813937393</v>
      </c>
      <c r="J83">
        <v>0.82564271008564494</v>
      </c>
      <c r="K83">
        <v>0.77533691702894125</v>
      </c>
      <c r="L83">
        <v>-0.2696095238811852</v>
      </c>
      <c r="M83">
        <v>-0.18298981473794204</v>
      </c>
      <c r="N83">
        <v>-8.9736479909065581E-2</v>
      </c>
      <c r="O83">
        <v>-0.24472390402604613</v>
      </c>
      <c r="Q83" s="2">
        <f t="shared" si="0"/>
        <v>2.355556215680001</v>
      </c>
      <c r="S83">
        <v>2.3555819964768232</v>
      </c>
    </row>
    <row r="84" spans="3:19" x14ac:dyDescent="0.25">
      <c r="C84">
        <v>-0.31482387481923091</v>
      </c>
      <c r="D84">
        <v>0.57713572778145417</v>
      </c>
      <c r="E84">
        <v>0.49995693028680477</v>
      </c>
      <c r="F84">
        <v>1.9642475999814086</v>
      </c>
      <c r="G84">
        <v>0.45141745065374295</v>
      </c>
      <c r="H84">
        <v>-0.73752725364349025</v>
      </c>
      <c r="I84">
        <v>-0.53097930606482713</v>
      </c>
      <c r="J84">
        <v>2.1120700609327687</v>
      </c>
      <c r="K84">
        <v>0.20824115906598362</v>
      </c>
      <c r="L84">
        <v>2.0701290324242172E-2</v>
      </c>
      <c r="M84">
        <v>0.70033919145473189</v>
      </c>
      <c r="N84">
        <v>3.8270711556785519E-2</v>
      </c>
      <c r="O84">
        <v>-0.3694499325665509</v>
      </c>
      <c r="Q84" s="2">
        <f t="shared" si="0"/>
        <v>10.703154223866013</v>
      </c>
      <c r="S84">
        <v>10.703734332287985</v>
      </c>
    </row>
    <row r="85" spans="3:19" x14ac:dyDescent="0.25">
      <c r="C85">
        <v>0.10150105275468624</v>
      </c>
      <c r="D85">
        <v>-0.22860606953075724</v>
      </c>
      <c r="E85">
        <v>-0.20399340609045641</v>
      </c>
      <c r="F85">
        <v>-0.34526410614845016</v>
      </c>
      <c r="G85">
        <v>-7.0818737362374873E-2</v>
      </c>
      <c r="H85">
        <v>-0.18707620453763663</v>
      </c>
      <c r="I85">
        <v>0.1548516242468494</v>
      </c>
      <c r="J85">
        <v>-9.9659402824301524E-2</v>
      </c>
      <c r="K85">
        <v>-0.43130493498094147</v>
      </c>
      <c r="L85">
        <v>0.35345696498732104</v>
      </c>
      <c r="M85">
        <v>8.3551858432808213E-2</v>
      </c>
      <c r="N85">
        <v>0.23005351962297549</v>
      </c>
      <c r="O85">
        <v>-1.0639988782027737E-2</v>
      </c>
      <c r="Q85" s="2">
        <f t="shared" si="0"/>
        <v>0.66828215076521646</v>
      </c>
      <c r="S85">
        <v>0.66840203657544239</v>
      </c>
    </row>
    <row r="86" spans="3:19" x14ac:dyDescent="0.25">
      <c r="C86">
        <v>-0.11530637298518331</v>
      </c>
      <c r="D86">
        <v>0.88357969323679297</v>
      </c>
      <c r="E86">
        <v>-0.25289332334893921</v>
      </c>
      <c r="F86">
        <v>0.76872019454086649</v>
      </c>
      <c r="G86">
        <v>-0.14424361829210219</v>
      </c>
      <c r="H86">
        <v>0.15923850986920551</v>
      </c>
      <c r="I86">
        <v>-0.12509688703266364</v>
      </c>
      <c r="J86">
        <v>1.44957072666327</v>
      </c>
      <c r="K86">
        <v>0.94042298241139022</v>
      </c>
      <c r="L86">
        <v>-0.50864043763598488</v>
      </c>
      <c r="M86">
        <v>-0.25517677646739201</v>
      </c>
      <c r="N86">
        <v>0.17633397767921039</v>
      </c>
      <c r="O86">
        <v>5.0195199008659541E-2</v>
      </c>
      <c r="Q86" s="2">
        <f t="shared" si="0"/>
        <v>4.8538009492105898</v>
      </c>
      <c r="S86">
        <v>4.853592837831207</v>
      </c>
    </row>
    <row r="87" spans="3:19" x14ac:dyDescent="0.25">
      <c r="C87">
        <v>-6.4681341164214201E-2</v>
      </c>
      <c r="D87">
        <v>0.7173118446200597</v>
      </c>
      <c r="E87">
        <v>-4.5470826826457644E-2</v>
      </c>
      <c r="F87">
        <v>0.14914110831721861</v>
      </c>
      <c r="G87">
        <v>5.9169842539502637E-2</v>
      </c>
      <c r="H87">
        <v>9.3898268807138918E-2</v>
      </c>
      <c r="I87">
        <v>0.22848971324210909</v>
      </c>
      <c r="J87">
        <v>-0.17183964646462302</v>
      </c>
      <c r="K87">
        <v>-0.1109442164654898</v>
      </c>
      <c r="L87">
        <v>-0.54218915361798192</v>
      </c>
      <c r="M87">
        <v>-0.21163508963340993</v>
      </c>
      <c r="N87">
        <v>0.16977350120950874</v>
      </c>
      <c r="O87">
        <v>-2.1614451891911246E-2</v>
      </c>
      <c r="Q87" s="2">
        <f t="shared" si="0"/>
        <v>1.0174423277908686</v>
      </c>
      <c r="S87">
        <v>1.0176629009015723</v>
      </c>
    </row>
    <row r="88" spans="3:19" x14ac:dyDescent="0.25">
      <c r="C88">
        <v>-0.11240551483667451</v>
      </c>
      <c r="D88">
        <v>-0.84604055956466584</v>
      </c>
      <c r="E88">
        <v>-0.25639361159759166</v>
      </c>
      <c r="F88">
        <v>-0.67204021394189062</v>
      </c>
      <c r="G88">
        <v>-0.46507184119848877</v>
      </c>
      <c r="H88">
        <v>0.59269794335963988</v>
      </c>
      <c r="I88">
        <v>-0.12436093239409618</v>
      </c>
      <c r="J88">
        <v>0.14287864015841456</v>
      </c>
      <c r="K88">
        <v>1.2081930160077563</v>
      </c>
      <c r="L88">
        <v>8.6289374515222672E-2</v>
      </c>
      <c r="M88">
        <v>-0.48297250278373022</v>
      </c>
      <c r="N88">
        <v>-0.30435445087087892</v>
      </c>
      <c r="O88">
        <v>9.8594234183873475E-2</v>
      </c>
      <c r="Q88" s="2">
        <f t="shared" si="0"/>
        <v>3.6520490915838013</v>
      </c>
      <c r="S88">
        <v>3.6526729742164252</v>
      </c>
    </row>
    <row r="89" spans="3:19" x14ac:dyDescent="0.25">
      <c r="C89">
        <v>-0.58723622751019633</v>
      </c>
      <c r="D89">
        <v>-1.2224400212463649</v>
      </c>
      <c r="E89">
        <v>0.611406571740847</v>
      </c>
      <c r="F89">
        <v>-0.3976689700842071</v>
      </c>
      <c r="G89">
        <v>7.071970788160975E-2</v>
      </c>
      <c r="H89">
        <v>-0.11987349716977902</v>
      </c>
      <c r="I89">
        <v>-0.15695931517526396</v>
      </c>
      <c r="J89">
        <v>-1.1895652184577785</v>
      </c>
      <c r="K89">
        <v>-0.73972434685977029</v>
      </c>
      <c r="L89">
        <v>0.20195600504997679</v>
      </c>
      <c r="M89">
        <v>0.28097220959561642</v>
      </c>
      <c r="N89">
        <v>-1.7324710259494336E-2</v>
      </c>
      <c r="O89">
        <v>-0.2164893940281688</v>
      </c>
      <c r="Q89" s="2">
        <f t="shared" si="0"/>
        <v>4.5443286893624748</v>
      </c>
      <c r="S89">
        <v>4.5441367292129673</v>
      </c>
    </row>
    <row r="90" spans="3:19" x14ac:dyDescent="0.25">
      <c r="C90">
        <v>4.9542679667572059E-2</v>
      </c>
      <c r="D90">
        <v>-0.93055910166584321</v>
      </c>
      <c r="E90">
        <v>3.8824260756432416E-2</v>
      </c>
      <c r="F90">
        <v>-0.45524356793880361</v>
      </c>
      <c r="G90">
        <v>-0.36390192491370066</v>
      </c>
      <c r="H90">
        <v>-1.7591109201341881E-2</v>
      </c>
      <c r="I90">
        <v>9.7440436764135718E-3</v>
      </c>
      <c r="J90">
        <v>-0.17781218681331667</v>
      </c>
      <c r="K90">
        <v>0.31459109096164328</v>
      </c>
      <c r="L90">
        <v>0.45692541897714756</v>
      </c>
      <c r="M90">
        <v>-6.7353922094299246E-2</v>
      </c>
      <c r="N90">
        <v>-7.5805709915362687E-2</v>
      </c>
      <c r="O90">
        <v>-0.16220792815266882</v>
      </c>
      <c r="Q90" s="2">
        <f t="shared" si="0"/>
        <v>1.5859377878727694</v>
      </c>
      <c r="S90">
        <v>1.5855519501705246</v>
      </c>
    </row>
    <row r="91" spans="3:19" x14ac:dyDescent="0.25">
      <c r="C91">
        <v>0.11170692057510595</v>
      </c>
      <c r="D91">
        <v>-0.25097047385150822</v>
      </c>
      <c r="E91">
        <v>0.14711240540512482</v>
      </c>
      <c r="F91">
        <v>-9.5386575596131826E-2</v>
      </c>
      <c r="G91">
        <v>0.31231466383387918</v>
      </c>
      <c r="H91">
        <v>-0.47293738910634808</v>
      </c>
      <c r="I91">
        <v>7.4480340067559991E-2</v>
      </c>
      <c r="J91">
        <v>-0.47744080793354171</v>
      </c>
      <c r="K91">
        <v>-0.94175669552464425</v>
      </c>
      <c r="L91">
        <v>0.4332305163292321</v>
      </c>
      <c r="M91">
        <v>0.35021359602189883</v>
      </c>
      <c r="N91">
        <v>5.0704687649971714E-3</v>
      </c>
      <c r="O91">
        <v>-8.592491446720163E-2</v>
      </c>
      <c r="Q91" s="2">
        <f t="shared" si="0"/>
        <v>1.8655652601375456</v>
      </c>
      <c r="S91">
        <v>1.8653288327449862</v>
      </c>
    </row>
    <row r="92" spans="3:19" x14ac:dyDescent="0.25">
      <c r="C92">
        <v>0.284097856850273</v>
      </c>
      <c r="D92">
        <v>0.40565813769699255</v>
      </c>
      <c r="E92">
        <v>-6.979260714194066E-2</v>
      </c>
      <c r="F92">
        <v>-0.13745535699927613</v>
      </c>
      <c r="G92">
        <v>0.37615297797963199</v>
      </c>
      <c r="H92">
        <v>-0.3854998904594632</v>
      </c>
      <c r="I92">
        <v>0.36426895119812608</v>
      </c>
      <c r="J92">
        <v>-0.6462688033912527</v>
      </c>
      <c r="K92">
        <v>-1.3548010646501865</v>
      </c>
      <c r="L92">
        <v>0.22387676763951836</v>
      </c>
      <c r="M92">
        <v>0.41226418169612178</v>
      </c>
      <c r="N92">
        <v>0.2563401367119662</v>
      </c>
      <c r="O92">
        <v>-3.5700555331608264E-2</v>
      </c>
      <c r="Q92" s="2">
        <f t="shared" si="0"/>
        <v>3.2320448462731912</v>
      </c>
      <c r="S92">
        <v>3.2322770400585372</v>
      </c>
    </row>
    <row r="93" spans="3:19" x14ac:dyDescent="0.25">
      <c r="C93">
        <v>0.19462037056832757</v>
      </c>
      <c r="D93">
        <v>-4.8932615132272539E-2</v>
      </c>
      <c r="E93">
        <v>6.4973883108434993E-2</v>
      </c>
      <c r="F93">
        <v>1.6570913602151904E-2</v>
      </c>
      <c r="G93">
        <v>-0.24921808269834886</v>
      </c>
      <c r="H93">
        <v>0.10478562863941487</v>
      </c>
      <c r="I93">
        <v>-0.10507598365738646</v>
      </c>
      <c r="J93">
        <v>-7.383681544863685E-3</v>
      </c>
      <c r="K93">
        <v>0.28565929210199181</v>
      </c>
      <c r="L93">
        <v>5.9050975386535143E-2</v>
      </c>
      <c r="M93">
        <v>1.0773521654130702E-2</v>
      </c>
      <c r="N93">
        <v>-1.1899637514364745E-2</v>
      </c>
      <c r="O93">
        <v>8.2279499727885508E-2</v>
      </c>
      <c r="Q93" s="2">
        <f t="shared" si="0"/>
        <v>0.22106868701114521</v>
      </c>
      <c r="S93">
        <v>0.22095459777883741</v>
      </c>
    </row>
    <row r="94" spans="3:19" x14ac:dyDescent="0.25">
      <c r="C94">
        <v>7.3803009292391475E-2</v>
      </c>
      <c r="D94">
        <v>-9.822621380813612E-2</v>
      </c>
      <c r="E94">
        <v>-0.21847852327194106</v>
      </c>
      <c r="F94">
        <v>-0.24402200652012485</v>
      </c>
      <c r="G94">
        <v>-5.9491450758974496E-2</v>
      </c>
      <c r="H94">
        <v>3.0597496962963211E-2</v>
      </c>
      <c r="I94">
        <v>8.4754127452298933E-2</v>
      </c>
      <c r="J94">
        <v>8.6276442351132965E-2</v>
      </c>
      <c r="K94">
        <v>3.6364043429607695E-2</v>
      </c>
      <c r="L94">
        <v>0.14471442155540815</v>
      </c>
      <c r="M94">
        <v>-6.6206657243115863E-2</v>
      </c>
      <c r="N94">
        <v>3.3871625423095075E-2</v>
      </c>
      <c r="O94">
        <v>3.325396829697036E-2</v>
      </c>
      <c r="Q94" s="2">
        <f t="shared" si="0"/>
        <v>0.17037824655593792</v>
      </c>
      <c r="S94">
        <v>0.17050573530679783</v>
      </c>
    </row>
    <row r="95" spans="3:19" x14ac:dyDescent="0.25">
      <c r="C95">
        <v>-0.35618903297546944</v>
      </c>
      <c r="D95">
        <v>-1.1197753908314481</v>
      </c>
      <c r="E95">
        <v>-0.18620676191377683</v>
      </c>
      <c r="F95">
        <v>-0.35511332458608774</v>
      </c>
      <c r="G95">
        <v>5.9065732633481471E-2</v>
      </c>
      <c r="H95">
        <v>-5.4711972841256118E-2</v>
      </c>
      <c r="I95">
        <v>-9.1501488262193453E-2</v>
      </c>
      <c r="J95">
        <v>0.57425495102776225</v>
      </c>
      <c r="K95">
        <v>0.18828417402560538</v>
      </c>
      <c r="L95">
        <v>0.61271009461485038</v>
      </c>
      <c r="M95">
        <v>0.15687603661119792</v>
      </c>
      <c r="N95">
        <v>-0.13806071811015452</v>
      </c>
      <c r="O95">
        <v>-0.20599791583723739</v>
      </c>
      <c r="Q95" s="2">
        <f t="shared" si="0"/>
        <v>2.3831400007911845</v>
      </c>
      <c r="S95">
        <v>2.3832379820083065</v>
      </c>
    </row>
    <row r="96" spans="3:19" x14ac:dyDescent="0.25">
      <c r="C96">
        <v>-0.62272412458601178</v>
      </c>
      <c r="D96">
        <v>-0.20133876521714278</v>
      </c>
      <c r="E96">
        <v>-0.20097752963875024</v>
      </c>
      <c r="F96">
        <v>-0.38544920615306277</v>
      </c>
      <c r="G96">
        <v>0.32107623564291177</v>
      </c>
      <c r="H96">
        <v>0.30210087110078754</v>
      </c>
      <c r="I96">
        <v>-0.17530626879323952</v>
      </c>
      <c r="J96">
        <v>-0.11703425582180937</v>
      </c>
      <c r="K96">
        <v>-7.0897897670398446E-2</v>
      </c>
      <c r="L96">
        <v>-0.30528165315449618</v>
      </c>
      <c r="M96">
        <v>-0.27572224055682604</v>
      </c>
      <c r="N96">
        <v>-0.10262948515188358</v>
      </c>
      <c r="O96">
        <v>0.27224945592645666</v>
      </c>
      <c r="Q96" s="2">
        <f t="shared" si="0"/>
        <v>1.1149686130520422</v>
      </c>
      <c r="S96">
        <v>1.1149799057685956</v>
      </c>
    </row>
    <row r="97" spans="3:19" x14ac:dyDescent="0.25">
      <c r="C97">
        <v>-0.22509154631948636</v>
      </c>
      <c r="D97">
        <v>1.2718463500113741E-3</v>
      </c>
      <c r="E97">
        <v>-0.72732806096191727</v>
      </c>
      <c r="F97">
        <v>0.10203758144301101</v>
      </c>
      <c r="G97">
        <v>0.34476297792409882</v>
      </c>
      <c r="H97">
        <v>-0.31091247385481635</v>
      </c>
      <c r="I97">
        <v>0.13634481222582018</v>
      </c>
      <c r="J97">
        <v>1.633853419604482</v>
      </c>
      <c r="K97">
        <v>-0.23961866230500722</v>
      </c>
      <c r="L97">
        <v>0.5206920484200529</v>
      </c>
      <c r="M97">
        <v>0.29852910385434361</v>
      </c>
      <c r="N97">
        <v>0.29938367732441051</v>
      </c>
      <c r="O97">
        <v>-0.1325213873606243</v>
      </c>
      <c r="Q97" s="2">
        <f t="shared" si="0"/>
        <v>4.0185300228438265</v>
      </c>
      <c r="S97">
        <v>4.0187746346950952</v>
      </c>
    </row>
    <row r="98" spans="3:19" x14ac:dyDescent="0.25">
      <c r="C98">
        <v>-0.47127116045195372</v>
      </c>
      <c r="D98">
        <v>3.3959458166721745E-2</v>
      </c>
      <c r="E98">
        <v>-0.93494621683019996</v>
      </c>
      <c r="F98">
        <v>-0.75648574367973942</v>
      </c>
      <c r="G98">
        <v>0.57797525446072751</v>
      </c>
      <c r="H98">
        <v>7.8363861769522175E-2</v>
      </c>
      <c r="I98">
        <v>0.36443661321515175</v>
      </c>
      <c r="J98">
        <v>0.41394182047525424</v>
      </c>
      <c r="K98">
        <v>-0.74722684651895022</v>
      </c>
      <c r="L98">
        <v>0.11078194354203075</v>
      </c>
      <c r="M98">
        <v>-9.4471593630518755E-2</v>
      </c>
      <c r="N98">
        <v>0.23266075012812104</v>
      </c>
      <c r="O98">
        <v>0.12894833927077282</v>
      </c>
      <c r="Q98" s="2">
        <f t="shared" si="0"/>
        <v>2.9643072056465378</v>
      </c>
      <c r="S98">
        <v>2.9645994006848491</v>
      </c>
    </row>
  </sheetData>
  <mergeCells count="1">
    <mergeCell ref="B1:F1"/>
  </mergeCells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DDEA-D95F-4BFE-918F-B9FC5CAFC8A9}">
  <dimension ref="A1:P33"/>
  <sheetViews>
    <sheetView zoomScale="80" zoomScaleNormal="80" workbookViewId="0">
      <selection activeCell="M3" sqref="M3"/>
    </sheetView>
  </sheetViews>
  <sheetFormatPr defaultRowHeight="15" x14ac:dyDescent="0.25"/>
  <cols>
    <col min="2" max="2" width="14" customWidth="1"/>
    <col min="3" max="3" width="12" customWidth="1"/>
    <col min="4" max="4" width="7.42578125" customWidth="1"/>
    <col min="5" max="5" width="14.85546875" bestFit="1" customWidth="1"/>
    <col min="10" max="10" width="12.42578125" customWidth="1"/>
    <col min="11" max="11" width="12.140625" customWidth="1"/>
  </cols>
  <sheetData>
    <row r="1" spans="1:16" x14ac:dyDescent="0.25">
      <c r="A1" s="11" t="s">
        <v>37</v>
      </c>
    </row>
    <row r="2" spans="1:16" x14ac:dyDescent="0.25">
      <c r="M2" t="s">
        <v>61</v>
      </c>
    </row>
    <row r="3" spans="1:16" x14ac:dyDescent="0.25">
      <c r="E3" s="12" t="s">
        <v>38</v>
      </c>
      <c r="F3" s="10">
        <v>5</v>
      </c>
      <c r="H3" s="13" t="s">
        <v>0</v>
      </c>
      <c r="I3" s="13" t="s">
        <v>39</v>
      </c>
      <c r="J3" s="13" t="s">
        <v>40</v>
      </c>
      <c r="K3" s="13" t="s">
        <v>41</v>
      </c>
      <c r="M3" s="13" t="s">
        <v>0</v>
      </c>
      <c r="N3" s="13" t="s">
        <v>39</v>
      </c>
      <c r="O3" s="13" t="s">
        <v>40</v>
      </c>
      <c r="P3" s="13" t="s">
        <v>41</v>
      </c>
    </row>
    <row r="4" spans="1:16" x14ac:dyDescent="0.25">
      <c r="E4" s="12" t="s">
        <v>42</v>
      </c>
      <c r="F4" s="10">
        <v>30</v>
      </c>
      <c r="H4" s="12">
        <v>1</v>
      </c>
      <c r="I4" s="14">
        <v>0.99555931979331203</v>
      </c>
      <c r="J4" s="12">
        <f>$F$9</f>
        <v>22.919999999999998</v>
      </c>
      <c r="K4" s="12">
        <f>$F$10</f>
        <v>15.54</v>
      </c>
      <c r="M4" s="12">
        <v>1</v>
      </c>
      <c r="N4" s="14">
        <v>0.99555931979331203</v>
      </c>
      <c r="O4" s="12">
        <v>22.919999999999998</v>
      </c>
      <c r="P4" s="12">
        <v>15.54</v>
      </c>
    </row>
    <row r="5" spans="1:16" x14ac:dyDescent="0.25">
      <c r="E5" s="12" t="s">
        <v>43</v>
      </c>
      <c r="F5" s="10" t="s">
        <v>44</v>
      </c>
      <c r="H5" s="12">
        <v>2</v>
      </c>
      <c r="I5" s="14">
        <v>4.5543097256426472</v>
      </c>
      <c r="J5" s="12">
        <f t="shared" ref="J5:J33" si="0">$F$9</f>
        <v>22.919999999999998</v>
      </c>
      <c r="K5" s="12">
        <f t="shared" ref="K5:K33" si="1">$F$10</f>
        <v>15.54</v>
      </c>
      <c r="M5" s="12">
        <v>2</v>
      </c>
      <c r="N5" s="14">
        <v>4.5543097256426472</v>
      </c>
      <c r="O5" s="12">
        <v>22.919999999999998</v>
      </c>
      <c r="P5" s="12">
        <v>15.54</v>
      </c>
    </row>
    <row r="6" spans="1:16" x14ac:dyDescent="0.25">
      <c r="H6" s="12">
        <v>3</v>
      </c>
      <c r="I6" s="14">
        <v>7.4583683050053962</v>
      </c>
      <c r="J6" s="12">
        <f t="shared" si="0"/>
        <v>22.919999999999998</v>
      </c>
      <c r="K6" s="12">
        <f t="shared" si="1"/>
        <v>15.54</v>
      </c>
      <c r="M6" s="12">
        <v>3</v>
      </c>
      <c r="N6" s="14">
        <v>7.4583683050053962</v>
      </c>
      <c r="O6" s="12">
        <v>22.919999999999998</v>
      </c>
      <c r="P6" s="12">
        <v>15.54</v>
      </c>
    </row>
    <row r="7" spans="1:16" x14ac:dyDescent="0.25">
      <c r="H7" s="12">
        <v>4</v>
      </c>
      <c r="I7" s="14">
        <v>7.9314695727041222</v>
      </c>
      <c r="J7" s="12">
        <f t="shared" si="0"/>
        <v>22.919999999999998</v>
      </c>
      <c r="K7" s="12">
        <f t="shared" si="1"/>
        <v>15.54</v>
      </c>
      <c r="M7" s="12">
        <v>4</v>
      </c>
      <c r="N7" s="14">
        <v>7.9314695727041222</v>
      </c>
      <c r="O7" s="12">
        <v>22.919999999999998</v>
      </c>
      <c r="P7" s="12">
        <v>15.54</v>
      </c>
    </row>
    <row r="8" spans="1:16" x14ac:dyDescent="0.25">
      <c r="B8" s="15" t="s">
        <v>45</v>
      </c>
      <c r="C8" s="15"/>
      <c r="E8" s="16" t="s">
        <v>46</v>
      </c>
      <c r="H8" s="12">
        <v>5</v>
      </c>
      <c r="I8" s="14">
        <v>5.891515445243277</v>
      </c>
      <c r="J8" s="12">
        <f t="shared" si="0"/>
        <v>22.919999999999998</v>
      </c>
      <c r="K8" s="12">
        <f t="shared" si="1"/>
        <v>15.54</v>
      </c>
      <c r="M8" s="12">
        <v>5</v>
      </c>
      <c r="N8" s="14">
        <v>5.891515445243277</v>
      </c>
      <c r="O8" s="12">
        <v>22.919999999999998</v>
      </c>
      <c r="P8" s="12">
        <v>15.54</v>
      </c>
    </row>
    <row r="9" spans="1:16" x14ac:dyDescent="0.25">
      <c r="B9" s="17" t="s">
        <v>47</v>
      </c>
      <c r="C9" s="8">
        <v>2.59</v>
      </c>
      <c r="E9" s="12" t="s">
        <v>48</v>
      </c>
      <c r="F9" s="8">
        <f>(((5*30)/(30-5))*C10)</f>
        <v>22.919999999999998</v>
      </c>
      <c r="H9" s="12">
        <v>6</v>
      </c>
      <c r="I9" s="14">
        <v>6.3853817122825696</v>
      </c>
      <c r="J9" s="12">
        <f t="shared" si="0"/>
        <v>22.919999999999998</v>
      </c>
      <c r="K9" s="12">
        <f t="shared" si="1"/>
        <v>15.54</v>
      </c>
      <c r="M9" s="12">
        <v>6</v>
      </c>
      <c r="N9" s="14">
        <v>6.3853817122825696</v>
      </c>
      <c r="O9" s="12">
        <v>22.919999999999998</v>
      </c>
      <c r="P9" s="12">
        <v>15.54</v>
      </c>
    </row>
    <row r="10" spans="1:16" x14ac:dyDescent="0.25">
      <c r="B10" s="17" t="s">
        <v>49</v>
      </c>
      <c r="C10" s="8">
        <v>3.82</v>
      </c>
      <c r="E10" s="12" t="s">
        <v>41</v>
      </c>
      <c r="F10" s="8">
        <f>(((5*30)/(30-5))*C9)</f>
        <v>15.54</v>
      </c>
      <c r="H10" s="12">
        <v>7</v>
      </c>
      <c r="I10" s="14">
        <v>3.3589200156335064</v>
      </c>
      <c r="J10" s="12">
        <f t="shared" si="0"/>
        <v>22.919999999999998</v>
      </c>
      <c r="K10" s="12">
        <f t="shared" si="1"/>
        <v>15.54</v>
      </c>
      <c r="M10" s="12">
        <v>7</v>
      </c>
      <c r="N10" s="14">
        <v>3.3589200156335064</v>
      </c>
      <c r="O10" s="12">
        <v>22.919999999999998</v>
      </c>
      <c r="P10" s="12">
        <v>15.54</v>
      </c>
    </row>
    <row r="11" spans="1:16" x14ac:dyDescent="0.25">
      <c r="H11" s="12">
        <v>8</v>
      </c>
      <c r="I11" s="14">
        <v>2.6814573895144798</v>
      </c>
      <c r="J11" s="12">
        <f t="shared" si="0"/>
        <v>22.919999999999998</v>
      </c>
      <c r="K11" s="12">
        <f t="shared" si="1"/>
        <v>15.54</v>
      </c>
      <c r="M11" s="12">
        <v>8</v>
      </c>
      <c r="N11" s="14">
        <v>2.6814573895144798</v>
      </c>
      <c r="O11" s="12">
        <v>22.919999999999998</v>
      </c>
      <c r="P11" s="12">
        <v>15.54</v>
      </c>
    </row>
    <row r="12" spans="1:16" x14ac:dyDescent="0.25">
      <c r="H12" s="12">
        <v>9</v>
      </c>
      <c r="I12" s="14">
        <v>5.0869598403885687</v>
      </c>
      <c r="J12" s="12">
        <f t="shared" si="0"/>
        <v>22.919999999999998</v>
      </c>
      <c r="K12" s="12">
        <f t="shared" si="1"/>
        <v>15.54</v>
      </c>
      <c r="M12" s="12">
        <v>9</v>
      </c>
      <c r="N12" s="14">
        <v>5.0869598403885687</v>
      </c>
      <c r="O12" s="12">
        <v>22.919999999999998</v>
      </c>
      <c r="P12" s="12">
        <v>15.54</v>
      </c>
    </row>
    <row r="13" spans="1:16" x14ac:dyDescent="0.25">
      <c r="H13" s="12">
        <v>10</v>
      </c>
      <c r="I13" s="14">
        <v>5.3206760023134363</v>
      </c>
      <c r="J13" s="12">
        <f t="shared" si="0"/>
        <v>22.919999999999998</v>
      </c>
      <c r="K13" s="12">
        <f t="shared" si="1"/>
        <v>15.54</v>
      </c>
      <c r="M13" s="12">
        <v>10</v>
      </c>
      <c r="N13" s="14">
        <v>5.3206760023134363</v>
      </c>
      <c r="O13" s="12">
        <v>22.919999999999998</v>
      </c>
      <c r="P13" s="12">
        <v>15.54</v>
      </c>
    </row>
    <row r="14" spans="1:16" x14ac:dyDescent="0.25">
      <c r="H14" s="12">
        <v>11</v>
      </c>
      <c r="I14" s="14">
        <v>3.0582490409744834</v>
      </c>
      <c r="J14" s="12">
        <f t="shared" si="0"/>
        <v>22.919999999999998</v>
      </c>
      <c r="K14" s="12">
        <f t="shared" si="1"/>
        <v>15.54</v>
      </c>
      <c r="M14" s="12">
        <v>11</v>
      </c>
      <c r="N14" s="14">
        <v>3.0582490409744834</v>
      </c>
      <c r="O14" s="12">
        <v>22.919999999999998</v>
      </c>
      <c r="P14" s="12">
        <v>15.54</v>
      </c>
    </row>
    <row r="15" spans="1:16" x14ac:dyDescent="0.25">
      <c r="H15" s="12">
        <v>12</v>
      </c>
      <c r="I15" s="14">
        <v>5.951690385252502</v>
      </c>
      <c r="J15" s="12">
        <f t="shared" si="0"/>
        <v>22.919999999999998</v>
      </c>
      <c r="K15" s="12">
        <f t="shared" si="1"/>
        <v>15.54</v>
      </c>
      <c r="M15" s="12">
        <v>12</v>
      </c>
      <c r="N15" s="14">
        <v>5.951690385252502</v>
      </c>
      <c r="O15" s="12">
        <v>22.919999999999998</v>
      </c>
      <c r="P15" s="12">
        <v>15.54</v>
      </c>
    </row>
    <row r="16" spans="1:16" x14ac:dyDescent="0.25">
      <c r="H16" s="12">
        <v>13</v>
      </c>
      <c r="I16" s="14">
        <v>5.1234342210852617</v>
      </c>
      <c r="J16" s="12">
        <f t="shared" si="0"/>
        <v>22.919999999999998</v>
      </c>
      <c r="K16" s="12">
        <f t="shared" si="1"/>
        <v>15.54</v>
      </c>
      <c r="M16" s="12">
        <v>13</v>
      </c>
      <c r="N16" s="14">
        <v>5.1234342210852617</v>
      </c>
      <c r="O16" s="12">
        <v>22.919999999999998</v>
      </c>
      <c r="P16" s="12">
        <v>15.54</v>
      </c>
    </row>
    <row r="17" spans="8:16" x14ac:dyDescent="0.25">
      <c r="H17" s="12">
        <v>14</v>
      </c>
      <c r="I17" s="14">
        <v>3.9186798175373343</v>
      </c>
      <c r="J17" s="12">
        <f t="shared" si="0"/>
        <v>22.919999999999998</v>
      </c>
      <c r="K17" s="12">
        <f t="shared" si="1"/>
        <v>15.54</v>
      </c>
      <c r="M17" s="12">
        <v>14</v>
      </c>
      <c r="N17" s="14">
        <v>3.9186798175373343</v>
      </c>
      <c r="O17" s="12">
        <v>22.919999999999998</v>
      </c>
      <c r="P17" s="12">
        <v>15.54</v>
      </c>
    </row>
    <row r="18" spans="8:16" x14ac:dyDescent="0.25">
      <c r="H18" s="12">
        <v>15</v>
      </c>
      <c r="I18" s="14">
        <v>0.82620490452511064</v>
      </c>
      <c r="J18" s="12">
        <f t="shared" si="0"/>
        <v>22.919999999999998</v>
      </c>
      <c r="K18" s="12">
        <f t="shared" si="1"/>
        <v>15.54</v>
      </c>
      <c r="M18" s="12">
        <v>15</v>
      </c>
      <c r="N18" s="14">
        <v>0.82620490452511064</v>
      </c>
      <c r="O18" s="12">
        <v>22.919999999999998</v>
      </c>
      <c r="P18" s="12">
        <v>15.54</v>
      </c>
    </row>
    <row r="19" spans="8:16" x14ac:dyDescent="0.25">
      <c r="H19" s="12">
        <v>16</v>
      </c>
      <c r="I19" s="14">
        <v>3.4940942181126862</v>
      </c>
      <c r="J19" s="12">
        <f t="shared" si="0"/>
        <v>22.919999999999998</v>
      </c>
      <c r="K19" s="12">
        <f t="shared" si="1"/>
        <v>15.54</v>
      </c>
      <c r="M19" s="12">
        <v>16</v>
      </c>
      <c r="N19" s="14">
        <v>3.4940942181126862</v>
      </c>
      <c r="O19" s="12">
        <v>22.919999999999998</v>
      </c>
      <c r="P19" s="12">
        <v>15.54</v>
      </c>
    </row>
    <row r="20" spans="8:16" x14ac:dyDescent="0.25">
      <c r="H20" s="12">
        <v>17</v>
      </c>
      <c r="I20" s="14">
        <v>4.15057519956504</v>
      </c>
      <c r="J20" s="12">
        <f t="shared" si="0"/>
        <v>22.919999999999998</v>
      </c>
      <c r="K20" s="12">
        <f t="shared" si="1"/>
        <v>15.54</v>
      </c>
      <c r="M20" s="12">
        <v>17</v>
      </c>
      <c r="N20" s="14">
        <v>4.15057519956504</v>
      </c>
      <c r="O20" s="12">
        <v>22.919999999999998</v>
      </c>
      <c r="P20" s="12">
        <v>15.54</v>
      </c>
    </row>
    <row r="21" spans="8:16" x14ac:dyDescent="0.25">
      <c r="H21" s="12">
        <v>18</v>
      </c>
      <c r="I21" s="14">
        <v>4.5114351825813372</v>
      </c>
      <c r="J21" s="12">
        <f t="shared" si="0"/>
        <v>22.919999999999998</v>
      </c>
      <c r="K21" s="12">
        <f t="shared" si="1"/>
        <v>15.54</v>
      </c>
      <c r="M21" s="12">
        <v>18</v>
      </c>
      <c r="N21" s="14">
        <v>4.5114351825813372</v>
      </c>
      <c r="O21" s="12">
        <v>22.919999999999998</v>
      </c>
      <c r="P21" s="12">
        <v>15.54</v>
      </c>
    </row>
    <row r="22" spans="8:16" x14ac:dyDescent="0.25">
      <c r="H22" s="12">
        <v>19</v>
      </c>
      <c r="I22" s="14">
        <v>4.9102017469186068</v>
      </c>
      <c r="J22" s="12">
        <f t="shared" si="0"/>
        <v>22.919999999999998</v>
      </c>
      <c r="K22" s="12">
        <f t="shared" si="1"/>
        <v>15.54</v>
      </c>
      <c r="M22" s="12">
        <v>19</v>
      </c>
      <c r="N22" s="14">
        <v>4.9102017469186068</v>
      </c>
      <c r="O22" s="12">
        <v>22.919999999999998</v>
      </c>
      <c r="P22" s="12">
        <v>15.54</v>
      </c>
    </row>
    <row r="23" spans="8:16" x14ac:dyDescent="0.25">
      <c r="H23" s="12">
        <v>20</v>
      </c>
      <c r="I23" s="14">
        <v>3.8952782606378236</v>
      </c>
      <c r="J23" s="12">
        <f t="shared" si="0"/>
        <v>22.919999999999998</v>
      </c>
      <c r="K23" s="12">
        <f t="shared" si="1"/>
        <v>15.54</v>
      </c>
      <c r="M23" s="12">
        <v>20</v>
      </c>
      <c r="N23" s="14">
        <v>3.8952782606378236</v>
      </c>
      <c r="O23" s="12">
        <v>22.919999999999998</v>
      </c>
      <c r="P23" s="12">
        <v>15.54</v>
      </c>
    </row>
    <row r="24" spans="8:16" x14ac:dyDescent="0.25">
      <c r="H24" s="12">
        <v>21</v>
      </c>
      <c r="I24" s="14">
        <v>3.0386044550692501</v>
      </c>
      <c r="J24" s="12">
        <f t="shared" si="0"/>
        <v>22.919999999999998</v>
      </c>
      <c r="K24" s="12">
        <f t="shared" si="1"/>
        <v>15.54</v>
      </c>
      <c r="M24" s="12">
        <v>21</v>
      </c>
      <c r="N24" s="14">
        <v>3.0386044550692501</v>
      </c>
      <c r="O24" s="12">
        <v>22.919999999999998</v>
      </c>
      <c r="P24" s="12">
        <v>15.54</v>
      </c>
    </row>
    <row r="25" spans="8:16" x14ac:dyDescent="0.25">
      <c r="H25" s="12">
        <v>22</v>
      </c>
      <c r="I25" s="14">
        <v>2.3512117274090918</v>
      </c>
      <c r="J25" s="12">
        <f t="shared" si="0"/>
        <v>22.919999999999998</v>
      </c>
      <c r="K25" s="12">
        <f t="shared" si="1"/>
        <v>15.54</v>
      </c>
      <c r="M25" s="12">
        <v>22</v>
      </c>
      <c r="N25" s="14">
        <v>2.3512117274090918</v>
      </c>
      <c r="O25" s="12">
        <v>22.919999999999998</v>
      </c>
      <c r="P25" s="12">
        <v>15.54</v>
      </c>
    </row>
    <row r="26" spans="8:16" x14ac:dyDescent="0.25">
      <c r="H26" s="12">
        <v>23</v>
      </c>
      <c r="I26" s="14">
        <v>6.4543923719239862</v>
      </c>
      <c r="J26" s="12">
        <f t="shared" si="0"/>
        <v>22.919999999999998</v>
      </c>
      <c r="K26" s="12">
        <f t="shared" si="1"/>
        <v>15.54</v>
      </c>
      <c r="M26" s="12">
        <v>23</v>
      </c>
      <c r="N26" s="14">
        <v>6.4543923719239862</v>
      </c>
      <c r="O26" s="12">
        <v>22.919999999999998</v>
      </c>
      <c r="P26" s="12">
        <v>15.54</v>
      </c>
    </row>
    <row r="27" spans="8:16" x14ac:dyDescent="0.25">
      <c r="H27" s="12">
        <v>24</v>
      </c>
      <c r="I27" s="14">
        <v>3.217352435865084</v>
      </c>
      <c r="J27" s="12">
        <f t="shared" si="0"/>
        <v>22.919999999999998</v>
      </c>
      <c r="K27" s="12">
        <f t="shared" si="1"/>
        <v>15.54</v>
      </c>
      <c r="M27" s="12">
        <v>24</v>
      </c>
      <c r="N27" s="14">
        <v>3.217352435865084</v>
      </c>
      <c r="O27" s="12">
        <v>22.919999999999998</v>
      </c>
      <c r="P27" s="12">
        <v>15.54</v>
      </c>
    </row>
    <row r="28" spans="8:16" x14ac:dyDescent="0.25">
      <c r="H28" s="12">
        <v>25</v>
      </c>
      <c r="I28" s="14">
        <v>8.0064294593538232</v>
      </c>
      <c r="J28" s="12">
        <f t="shared" si="0"/>
        <v>22.919999999999998</v>
      </c>
      <c r="K28" s="12">
        <f t="shared" si="1"/>
        <v>15.54</v>
      </c>
      <c r="M28" s="12">
        <v>25</v>
      </c>
      <c r="N28" s="14">
        <v>8.0064294593538232</v>
      </c>
      <c r="O28" s="12">
        <v>22.919999999999998</v>
      </c>
      <c r="P28" s="12">
        <v>15.54</v>
      </c>
    </row>
    <row r="29" spans="8:16" x14ac:dyDescent="0.25">
      <c r="H29" s="12">
        <v>26</v>
      </c>
      <c r="I29" s="14">
        <v>10.392250340408625</v>
      </c>
      <c r="J29" s="12">
        <f t="shared" si="0"/>
        <v>22.919999999999998</v>
      </c>
      <c r="K29" s="12">
        <f t="shared" si="1"/>
        <v>15.54</v>
      </c>
      <c r="M29" s="12">
        <v>26</v>
      </c>
      <c r="N29" s="14">
        <v>10.392250340408625</v>
      </c>
      <c r="O29" s="12">
        <v>22.919999999999998</v>
      </c>
      <c r="P29" s="12">
        <v>15.54</v>
      </c>
    </row>
    <row r="30" spans="8:16" x14ac:dyDescent="0.25">
      <c r="H30" s="12">
        <v>27</v>
      </c>
      <c r="I30" s="14">
        <v>0.89368228620475154</v>
      </c>
      <c r="J30" s="12">
        <f t="shared" si="0"/>
        <v>22.919999999999998</v>
      </c>
      <c r="K30" s="12">
        <f t="shared" si="1"/>
        <v>15.54</v>
      </c>
      <c r="M30" s="12">
        <v>27</v>
      </c>
      <c r="N30" s="14">
        <v>0.89368228620475154</v>
      </c>
      <c r="O30" s="12">
        <v>22.919999999999998</v>
      </c>
      <c r="P30" s="12">
        <v>15.54</v>
      </c>
    </row>
    <row r="31" spans="8:16" x14ac:dyDescent="0.25">
      <c r="H31" s="12">
        <v>28</v>
      </c>
      <c r="I31" s="14">
        <v>5.3172718622767645</v>
      </c>
      <c r="J31" s="12">
        <f t="shared" si="0"/>
        <v>22.919999999999998</v>
      </c>
      <c r="K31" s="12">
        <f t="shared" si="1"/>
        <v>15.54</v>
      </c>
      <c r="M31" s="12">
        <v>28</v>
      </c>
      <c r="N31" s="14">
        <v>5.3172718622767645</v>
      </c>
      <c r="O31" s="12">
        <v>22.919999999999998</v>
      </c>
      <c r="P31" s="12">
        <v>15.54</v>
      </c>
    </row>
    <row r="32" spans="8:16" x14ac:dyDescent="0.25">
      <c r="H32" s="12">
        <v>29</v>
      </c>
      <c r="I32" s="14">
        <v>8.2217905546668515</v>
      </c>
      <c r="J32" s="12">
        <f t="shared" si="0"/>
        <v>22.919999999999998</v>
      </c>
      <c r="K32" s="12">
        <f t="shared" si="1"/>
        <v>15.54</v>
      </c>
      <c r="M32" s="12">
        <v>29</v>
      </c>
      <c r="N32" s="14">
        <v>8.2217905546668515</v>
      </c>
      <c r="O32" s="12">
        <v>22.919999999999998</v>
      </c>
      <c r="P32" s="12">
        <v>15.54</v>
      </c>
    </row>
    <row r="33" spans="8:16" x14ac:dyDescent="0.25">
      <c r="H33" s="12">
        <v>30</v>
      </c>
      <c r="I33" s="14">
        <v>7.6028096596188819</v>
      </c>
      <c r="J33" s="12">
        <f t="shared" si="0"/>
        <v>22.919999999999998</v>
      </c>
      <c r="K33" s="12">
        <f t="shared" si="1"/>
        <v>15.54</v>
      </c>
      <c r="M33" s="12">
        <v>30</v>
      </c>
      <c r="N33" s="14">
        <v>7.6028096596188819</v>
      </c>
      <c r="O33" s="12">
        <v>22.919999999999998</v>
      </c>
      <c r="P33" s="12">
        <v>15.54</v>
      </c>
    </row>
  </sheetData>
  <pageMargins left="0.7" right="0.7" top="0.75" bottom="0.75" header="0.3" footer="0.3"/>
  <pageSetup orientation="portrait" r:id="rId1"/>
  <headerFooter>
    <oddFooter>&amp;C&amp;1#&amp;"Arial"&amp;10&amp;K000000Internal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9217" r:id="rId4">
          <objectPr defaultSize="0" autoPict="0" r:id="rId5">
            <anchor moveWithCells="1" sizeWithCells="1">
              <from>
                <xdr:col>0</xdr:col>
                <xdr:colOff>390525</xdr:colOff>
                <xdr:row>3</xdr:row>
                <xdr:rowOff>66675</xdr:rowOff>
              </from>
              <to>
                <xdr:col>2</xdr:col>
                <xdr:colOff>466725</xdr:colOff>
                <xdr:row>5</xdr:row>
                <xdr:rowOff>104775</xdr:rowOff>
              </to>
            </anchor>
          </objectPr>
        </oleObject>
      </mc:Choice>
      <mc:Fallback>
        <oleObject progId="Equation.3" shapeId="9217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9A42-3885-475D-B20A-EEE532F5E9E3}">
  <dimension ref="A6:K37"/>
  <sheetViews>
    <sheetView zoomScale="80" zoomScaleNormal="80" workbookViewId="0">
      <selection activeCell="E28" sqref="E28"/>
    </sheetView>
  </sheetViews>
  <sheetFormatPr defaultRowHeight="15" x14ac:dyDescent="0.25"/>
  <cols>
    <col min="2" max="2" width="14" customWidth="1"/>
    <col min="4" max="4" width="7.42578125" customWidth="1"/>
    <col min="5" max="5" width="12" customWidth="1"/>
    <col min="10" max="10" width="12.42578125" customWidth="1"/>
    <col min="11" max="11" width="12.140625" customWidth="1"/>
  </cols>
  <sheetData>
    <row r="6" spans="1:11" x14ac:dyDescent="0.25">
      <c r="A6" s="13" t="s">
        <v>4</v>
      </c>
      <c r="B6" s="13" t="s">
        <v>50</v>
      </c>
      <c r="C6" s="2"/>
      <c r="H6" s="13" t="s">
        <v>4</v>
      </c>
      <c r="I6" s="13" t="s">
        <v>51</v>
      </c>
      <c r="J6" s="13" t="s">
        <v>48</v>
      </c>
      <c r="K6" s="13" t="s">
        <v>41</v>
      </c>
    </row>
    <row r="7" spans="1:11" x14ac:dyDescent="0.25">
      <c r="A7" s="12">
        <v>1</v>
      </c>
      <c r="B7" s="12">
        <v>4.06301570844031</v>
      </c>
      <c r="C7" s="2"/>
      <c r="D7" s="18"/>
      <c r="E7" s="19">
        <f>(SUM(B12:B19))</f>
        <v>2.7141627987792218</v>
      </c>
      <c r="H7" s="12">
        <v>1</v>
      </c>
      <c r="I7" s="12">
        <v>3.5071222588134212</v>
      </c>
      <c r="J7" s="12">
        <f>$E$13</f>
        <v>11.775586555642477</v>
      </c>
      <c r="K7" s="12">
        <f>$E$14</f>
        <v>11.38226970118221</v>
      </c>
    </row>
    <row r="8" spans="1:11" x14ac:dyDescent="0.25">
      <c r="A8" s="12">
        <v>2</v>
      </c>
      <c r="B8" s="12">
        <v>2.1702855043291098</v>
      </c>
      <c r="C8" s="2"/>
      <c r="D8" s="18"/>
      <c r="E8" s="19">
        <f>((B12^2+B13^2+B14^2+B15^2+B16^2+B17^2+B18^2+B19^2))</f>
        <v>1.7751129687848479</v>
      </c>
      <c r="H8" s="12">
        <v>2</v>
      </c>
      <c r="I8" s="12">
        <v>1.4549679362814603</v>
      </c>
      <c r="J8" s="12">
        <f t="shared" ref="J8:J37" si="0">$E$13</f>
        <v>11.775586555642477</v>
      </c>
      <c r="K8" s="12">
        <f t="shared" ref="K8:K37" si="1">$E$14</f>
        <v>11.38226970118221</v>
      </c>
    </row>
    <row r="9" spans="1:11" x14ac:dyDescent="0.25">
      <c r="A9" s="12">
        <v>3</v>
      </c>
      <c r="B9" s="12">
        <v>1.6008862070974099</v>
      </c>
      <c r="C9" s="2"/>
      <c r="D9" s="18"/>
      <c r="E9" s="19">
        <f>((B12^3+B13^3+B14^3+B15^3+B16^3+B17^3+B18^3+B19^3))</f>
        <v>1.328756420437518</v>
      </c>
      <c r="H9" s="12">
        <v>3</v>
      </c>
      <c r="I9" s="12">
        <v>3.1478782551134143</v>
      </c>
      <c r="J9" s="12">
        <f t="shared" si="0"/>
        <v>11.775586555642477</v>
      </c>
      <c r="K9" s="12">
        <f t="shared" si="1"/>
        <v>11.38226970118221</v>
      </c>
    </row>
    <row r="10" spans="1:11" x14ac:dyDescent="0.25">
      <c r="A10" s="12">
        <v>4</v>
      </c>
      <c r="B10" s="12">
        <v>1.3174486883505201</v>
      </c>
      <c r="C10" s="2"/>
      <c r="D10" s="18"/>
      <c r="E10" s="19">
        <f>(1-((2*E7*E9)/(3*E8^2)))</f>
        <v>0.23697631913456263</v>
      </c>
      <c r="H10" s="12">
        <v>4</v>
      </c>
      <c r="I10" s="12">
        <v>1.4112024656700037</v>
      </c>
      <c r="J10" s="12">
        <f t="shared" si="0"/>
        <v>11.775586555642477</v>
      </c>
      <c r="K10" s="12">
        <f t="shared" si="1"/>
        <v>11.38226970118221</v>
      </c>
    </row>
    <row r="11" spans="1:11" x14ac:dyDescent="0.25">
      <c r="A11" s="12">
        <v>5</v>
      </c>
      <c r="B11" s="12">
        <v>1.1342010930034301</v>
      </c>
      <c r="C11" s="2"/>
      <c r="D11" s="20">
        <v>0.99</v>
      </c>
      <c r="E11" s="19">
        <v>2.58</v>
      </c>
      <c r="H11" s="12">
        <v>5</v>
      </c>
      <c r="I11" s="12">
        <v>1.3440523689363422</v>
      </c>
      <c r="J11" s="12">
        <f t="shared" si="0"/>
        <v>11.775586555642477</v>
      </c>
      <c r="K11" s="12">
        <f t="shared" si="1"/>
        <v>11.38226970118221</v>
      </c>
    </row>
    <row r="12" spans="1:11" x14ac:dyDescent="0.25">
      <c r="A12" s="12">
        <v>6</v>
      </c>
      <c r="B12" s="12">
        <v>0.93359728186612301</v>
      </c>
      <c r="C12" s="2"/>
      <c r="D12" s="21">
        <v>0.95</v>
      </c>
      <c r="E12" s="19">
        <v>1.645</v>
      </c>
      <c r="H12" s="12">
        <v>6</v>
      </c>
      <c r="I12" s="12">
        <v>2.9687721442469699</v>
      </c>
      <c r="J12" s="12">
        <f t="shared" si="0"/>
        <v>11.775586555642477</v>
      </c>
      <c r="K12" s="12">
        <f t="shared" si="1"/>
        <v>11.38226970118221</v>
      </c>
    </row>
    <row r="13" spans="1:11" x14ac:dyDescent="0.25">
      <c r="A13" s="12">
        <v>7</v>
      </c>
      <c r="B13" s="12">
        <v>0.643530887107711</v>
      </c>
      <c r="C13" s="2"/>
      <c r="D13" s="18"/>
      <c r="E13" s="19">
        <f>(E7*((E11*(((2*E8*E10^2)^1/2)/E7))+((E7*E10*(E10-1))/E7^2)+1)^1/E10)</f>
        <v>11.775586555642477</v>
      </c>
      <c r="F13" s="22">
        <v>0.99</v>
      </c>
      <c r="H13" s="12">
        <v>7</v>
      </c>
      <c r="I13" s="12">
        <v>4.1933516544757587</v>
      </c>
      <c r="J13" s="12">
        <f t="shared" si="0"/>
        <v>11.775586555642477</v>
      </c>
      <c r="K13" s="12">
        <f t="shared" si="1"/>
        <v>11.38226970118221</v>
      </c>
    </row>
    <row r="14" spans="1:11" x14ac:dyDescent="0.25">
      <c r="A14" s="12">
        <v>8</v>
      </c>
      <c r="B14" s="12">
        <v>0.58867921437633997</v>
      </c>
      <c r="C14" s="2"/>
      <c r="D14" s="18"/>
      <c r="E14" s="19">
        <f>(E7*((E12*(((2*E8*E10^2)^1/2)/E7))+((E7*E10*(E10-1))/E7^2)+1)^1/E10)</f>
        <v>11.38226970118221</v>
      </c>
      <c r="F14" s="22">
        <v>0.95</v>
      </c>
      <c r="H14" s="12">
        <v>8</v>
      </c>
      <c r="I14" s="12">
        <v>1.9578891322207834</v>
      </c>
      <c r="J14" s="12">
        <f t="shared" si="0"/>
        <v>11.775586555642477</v>
      </c>
      <c r="K14" s="12">
        <f t="shared" si="1"/>
        <v>11.38226970118221</v>
      </c>
    </row>
    <row r="15" spans="1:11" x14ac:dyDescent="0.25">
      <c r="A15" s="12">
        <v>9</v>
      </c>
      <c r="B15" s="12">
        <v>0.34524758134744299</v>
      </c>
      <c r="C15" s="2"/>
      <c r="H15" s="12">
        <v>9</v>
      </c>
      <c r="I15" s="12">
        <v>1.1321103756579545</v>
      </c>
      <c r="J15" s="12">
        <f t="shared" si="0"/>
        <v>11.775586555642477</v>
      </c>
      <c r="K15" s="12">
        <f t="shared" si="1"/>
        <v>11.38226970118221</v>
      </c>
    </row>
    <row r="16" spans="1:11" x14ac:dyDescent="0.25">
      <c r="A16" s="12">
        <v>10</v>
      </c>
      <c r="B16" s="12">
        <v>0.14938043525203901</v>
      </c>
      <c r="C16" s="2"/>
      <c r="H16" s="12">
        <v>10</v>
      </c>
      <c r="I16" s="12">
        <v>3.6118067412798665</v>
      </c>
      <c r="J16" s="12">
        <f t="shared" si="0"/>
        <v>11.775586555642477</v>
      </c>
      <c r="K16" s="12">
        <f t="shared" si="1"/>
        <v>11.38226970118221</v>
      </c>
    </row>
    <row r="17" spans="1:11" x14ac:dyDescent="0.25">
      <c r="A17" s="12">
        <v>11</v>
      </c>
      <c r="B17" s="12">
        <v>2.8428808283652799E-2</v>
      </c>
      <c r="C17" s="2"/>
      <c r="H17" s="12">
        <v>11</v>
      </c>
      <c r="I17" s="12">
        <v>2.9541923390532911</v>
      </c>
      <c r="J17" s="12">
        <f t="shared" si="0"/>
        <v>11.775586555642477</v>
      </c>
      <c r="K17" s="12">
        <f t="shared" si="1"/>
        <v>11.38226970118221</v>
      </c>
    </row>
    <row r="18" spans="1:11" x14ac:dyDescent="0.25">
      <c r="A18" s="12">
        <v>12</v>
      </c>
      <c r="B18" s="12">
        <v>2.2529847688458102E-2</v>
      </c>
      <c r="C18" s="2"/>
      <c r="H18" s="12">
        <v>12</v>
      </c>
      <c r="I18" s="12">
        <v>1.3311695678172561</v>
      </c>
      <c r="J18" s="12">
        <f t="shared" si="0"/>
        <v>11.775586555642477</v>
      </c>
      <c r="K18" s="12">
        <f t="shared" si="1"/>
        <v>11.38226970118221</v>
      </c>
    </row>
    <row r="19" spans="1:11" x14ac:dyDescent="0.25">
      <c r="A19" s="12">
        <v>13</v>
      </c>
      <c r="B19" s="12">
        <v>2.7687428574548699E-3</v>
      </c>
      <c r="C19" s="2"/>
      <c r="H19" s="12">
        <v>13</v>
      </c>
      <c r="I19" s="12">
        <v>1.4598195264278639</v>
      </c>
      <c r="J19" s="12">
        <f t="shared" si="0"/>
        <v>11.775586555642477</v>
      </c>
      <c r="K19" s="12">
        <f t="shared" si="1"/>
        <v>11.38226970118221</v>
      </c>
    </row>
    <row r="20" spans="1:11" x14ac:dyDescent="0.25">
      <c r="H20" s="12">
        <v>14</v>
      </c>
      <c r="I20" s="12">
        <v>2.8832592891148221</v>
      </c>
      <c r="J20" s="12">
        <f t="shared" si="0"/>
        <v>11.775586555642477</v>
      </c>
      <c r="K20" s="12">
        <f t="shared" si="1"/>
        <v>11.38226970118221</v>
      </c>
    </row>
    <row r="21" spans="1:11" x14ac:dyDescent="0.25">
      <c r="H21" s="12">
        <v>15</v>
      </c>
      <c r="I21" s="12">
        <v>2.3555819964768232</v>
      </c>
      <c r="J21" s="12">
        <f t="shared" si="0"/>
        <v>11.775586555642477</v>
      </c>
      <c r="K21" s="12">
        <f t="shared" si="1"/>
        <v>11.38226970118221</v>
      </c>
    </row>
    <row r="22" spans="1:11" x14ac:dyDescent="0.25">
      <c r="H22" s="12">
        <v>16</v>
      </c>
      <c r="I22" s="12">
        <v>10.703734332287985</v>
      </c>
      <c r="J22" s="12">
        <f t="shared" si="0"/>
        <v>11.775586555642477</v>
      </c>
      <c r="K22" s="12">
        <f t="shared" si="1"/>
        <v>11.38226970118221</v>
      </c>
    </row>
    <row r="23" spans="1:11" x14ac:dyDescent="0.25">
      <c r="H23" s="12">
        <v>17</v>
      </c>
      <c r="I23" s="12">
        <v>0.66840203657544239</v>
      </c>
      <c r="J23" s="12">
        <f t="shared" si="0"/>
        <v>11.775586555642477</v>
      </c>
      <c r="K23" s="12">
        <f t="shared" si="1"/>
        <v>11.38226970118221</v>
      </c>
    </row>
    <row r="24" spans="1:11" x14ac:dyDescent="0.25">
      <c r="H24" s="12">
        <v>18</v>
      </c>
      <c r="I24" s="12">
        <v>4.853592837831207</v>
      </c>
      <c r="J24" s="12">
        <f t="shared" si="0"/>
        <v>11.775586555642477</v>
      </c>
      <c r="K24" s="12">
        <f t="shared" si="1"/>
        <v>11.38226970118221</v>
      </c>
    </row>
    <row r="25" spans="1:11" x14ac:dyDescent="0.25">
      <c r="H25" s="12">
        <v>19</v>
      </c>
      <c r="I25" s="12">
        <v>1.0176629009015723</v>
      </c>
      <c r="J25" s="12">
        <f t="shared" si="0"/>
        <v>11.775586555642477</v>
      </c>
      <c r="K25" s="12">
        <f t="shared" si="1"/>
        <v>11.38226970118221</v>
      </c>
    </row>
    <row r="26" spans="1:11" x14ac:dyDescent="0.25">
      <c r="H26" s="12">
        <v>20</v>
      </c>
      <c r="I26" s="12">
        <v>3.6526729742164252</v>
      </c>
      <c r="J26" s="12">
        <f t="shared" si="0"/>
        <v>11.775586555642477</v>
      </c>
      <c r="K26" s="12">
        <f t="shared" si="1"/>
        <v>11.38226970118221</v>
      </c>
    </row>
    <row r="27" spans="1:11" x14ac:dyDescent="0.25">
      <c r="H27" s="12">
        <v>21</v>
      </c>
      <c r="I27" s="12">
        <v>4.5441367292129673</v>
      </c>
      <c r="J27" s="12">
        <f t="shared" si="0"/>
        <v>11.775586555642477</v>
      </c>
      <c r="K27" s="12">
        <f t="shared" si="1"/>
        <v>11.38226970118221</v>
      </c>
    </row>
    <row r="28" spans="1:11" x14ac:dyDescent="0.25">
      <c r="H28" s="12">
        <v>22</v>
      </c>
      <c r="I28" s="12">
        <v>1.5855519501705246</v>
      </c>
      <c r="J28" s="12">
        <f t="shared" si="0"/>
        <v>11.775586555642477</v>
      </c>
      <c r="K28" s="12">
        <f t="shared" si="1"/>
        <v>11.38226970118221</v>
      </c>
    </row>
    <row r="29" spans="1:11" x14ac:dyDescent="0.25">
      <c r="H29" s="12">
        <v>23</v>
      </c>
      <c r="I29" s="12">
        <v>1.8653288327449862</v>
      </c>
      <c r="J29" s="12">
        <f t="shared" si="0"/>
        <v>11.775586555642477</v>
      </c>
      <c r="K29" s="12">
        <f t="shared" si="1"/>
        <v>11.38226970118221</v>
      </c>
    </row>
    <row r="30" spans="1:11" x14ac:dyDescent="0.25">
      <c r="H30" s="12">
        <v>24</v>
      </c>
      <c r="I30" s="12">
        <v>3.2322770400585372</v>
      </c>
      <c r="J30" s="12">
        <f t="shared" si="0"/>
        <v>11.775586555642477</v>
      </c>
      <c r="K30" s="12">
        <f t="shared" si="1"/>
        <v>11.38226970118221</v>
      </c>
    </row>
    <row r="31" spans="1:11" x14ac:dyDescent="0.25">
      <c r="H31" s="12">
        <v>25</v>
      </c>
      <c r="I31" s="12">
        <v>0.22095459777883741</v>
      </c>
      <c r="J31" s="12">
        <f t="shared" si="0"/>
        <v>11.775586555642477</v>
      </c>
      <c r="K31" s="12">
        <f t="shared" si="1"/>
        <v>11.38226970118221</v>
      </c>
    </row>
    <row r="32" spans="1:11" x14ac:dyDescent="0.25">
      <c r="H32" s="12">
        <v>26</v>
      </c>
      <c r="I32" s="12">
        <v>0.17050573530679783</v>
      </c>
      <c r="J32" s="12">
        <f t="shared" si="0"/>
        <v>11.775586555642477</v>
      </c>
      <c r="K32" s="12">
        <f t="shared" si="1"/>
        <v>11.38226970118221</v>
      </c>
    </row>
    <row r="33" spans="8:11" x14ac:dyDescent="0.25">
      <c r="H33" s="12">
        <v>27</v>
      </c>
      <c r="I33" s="12">
        <v>2.3832379820083065</v>
      </c>
      <c r="J33" s="12">
        <f t="shared" si="0"/>
        <v>11.775586555642477</v>
      </c>
      <c r="K33" s="12">
        <f t="shared" si="1"/>
        <v>11.38226970118221</v>
      </c>
    </row>
    <row r="34" spans="8:11" x14ac:dyDescent="0.25">
      <c r="H34" s="12">
        <v>28</v>
      </c>
      <c r="I34" s="12">
        <v>1.1149799057685956</v>
      </c>
      <c r="J34" s="12">
        <f t="shared" si="0"/>
        <v>11.775586555642477</v>
      </c>
      <c r="K34" s="12">
        <f t="shared" si="1"/>
        <v>11.38226970118221</v>
      </c>
    </row>
    <row r="35" spans="8:11" x14ac:dyDescent="0.25">
      <c r="H35" s="12">
        <v>29</v>
      </c>
      <c r="I35" s="12">
        <v>4.0187746346950952</v>
      </c>
      <c r="J35" s="12">
        <f t="shared" si="0"/>
        <v>11.775586555642477</v>
      </c>
      <c r="K35" s="12">
        <f t="shared" si="1"/>
        <v>11.38226970118221</v>
      </c>
    </row>
    <row r="36" spans="8:11" x14ac:dyDescent="0.25">
      <c r="H36" s="12">
        <v>30</v>
      </c>
      <c r="I36" s="12">
        <v>2.9645994006848491</v>
      </c>
      <c r="J36" s="12">
        <f t="shared" si="0"/>
        <v>11.775586555642477</v>
      </c>
      <c r="K36" s="12">
        <f t="shared" si="1"/>
        <v>11.38226970118221</v>
      </c>
    </row>
    <row r="37" spans="8:11" x14ac:dyDescent="0.25">
      <c r="H37" s="12">
        <v>31</v>
      </c>
      <c r="I37" s="12">
        <v>2.4254104969023857</v>
      </c>
      <c r="J37" s="12">
        <f t="shared" si="0"/>
        <v>11.775586555642477</v>
      </c>
      <c r="K37" s="12">
        <f t="shared" si="1"/>
        <v>11.38226970118221</v>
      </c>
    </row>
  </sheetData>
  <pageMargins left="0.7" right="0.7" top="0.75" bottom="0.75" header="0.3" footer="0.3"/>
  <pageSetup orientation="portrait" r:id="rId1"/>
  <headerFooter>
    <oddFooter>&amp;C&amp;1#&amp;"Arial"&amp;10&amp;K000000Internal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16386" r:id="rId4">
          <objectPr defaultSize="0" autoPict="0" r:id="rId5">
            <anchor moveWithCells="1" sizeWithCells="1">
              <from>
                <xdr:col>0</xdr:col>
                <xdr:colOff>200025</xdr:colOff>
                <xdr:row>0</xdr:row>
                <xdr:rowOff>133350</xdr:rowOff>
              </from>
              <to>
                <xdr:col>6</xdr:col>
                <xdr:colOff>276225</xdr:colOff>
                <xdr:row>3</xdr:row>
                <xdr:rowOff>171450</xdr:rowOff>
              </to>
            </anchor>
          </objectPr>
        </oleObject>
      </mc:Choice>
      <mc:Fallback>
        <oleObject progId="Equation.3" shapeId="16386" r:id="rId4"/>
      </mc:Fallback>
    </mc:AlternateContent>
    <mc:AlternateContent xmlns:mc="http://schemas.openxmlformats.org/markup-compatibility/2006">
      <mc:Choice Requires="x14">
        <oleObject progId="Equation.3" shapeId="16387" r:id="rId6">
          <objectPr defaultSize="0" autoPict="0" r:id="rId7">
            <anchor moveWithCells="1" sizeWithCells="1">
              <from>
                <xdr:col>6</xdr:col>
                <xdr:colOff>447675</xdr:colOff>
                <xdr:row>1</xdr:row>
                <xdr:rowOff>47625</xdr:rowOff>
              </from>
              <to>
                <xdr:col>8</xdr:col>
                <xdr:colOff>66675</xdr:colOff>
                <xdr:row>3</xdr:row>
                <xdr:rowOff>114300</xdr:rowOff>
              </to>
            </anchor>
          </objectPr>
        </oleObject>
      </mc:Choice>
      <mc:Fallback>
        <oleObject progId="Equation.3" shapeId="16387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Calculation Flow</vt:lpstr>
      <vt:lpstr>NOC6 (2)</vt:lpstr>
      <vt:lpstr>Cmxm</vt:lpstr>
      <vt:lpstr>S -Eiegenvalues</vt:lpstr>
      <vt:lpstr>V - Eiegenvectors</vt:lpstr>
      <vt:lpstr>P=X̆V</vt:lpstr>
      <vt:lpstr>Hotelling T2</vt:lpstr>
      <vt:lpstr>SPE</vt:lpstr>
      <vt:lpstr>Step 4 - T2</vt:lpstr>
      <vt:lpstr>Step 4 - SPE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CC-SISPI08</dc:creator>
  <cp:lastModifiedBy>Muhammad Iqbal Shafiq bin Mohd Shaufi</cp:lastModifiedBy>
  <dcterms:created xsi:type="dcterms:W3CDTF">2023-01-10T03:16:28Z</dcterms:created>
  <dcterms:modified xsi:type="dcterms:W3CDTF">2023-01-17T02:39:42Z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530cf4-8573-4c29-a912-bbcdac835909_Enabled">
    <vt:lpwstr>true</vt:lpwstr>
  </property>
  <property fmtid="{D5CDD505-2E9C-101B-9397-08002B2CF9AE}" pid="3" name="MSIP_Label_06530cf4-8573-4c29-a912-bbcdac835909_SetDate">
    <vt:lpwstr>2023-01-17T02:39:41Z</vt:lpwstr>
  </property>
  <property fmtid="{D5CDD505-2E9C-101B-9397-08002B2CF9AE}" pid="4" name="MSIP_Label_06530cf4-8573-4c29-a912-bbcdac835909_Method">
    <vt:lpwstr>Standard</vt:lpwstr>
  </property>
  <property fmtid="{D5CDD505-2E9C-101B-9397-08002B2CF9AE}" pid="5" name="MSIP_Label_06530cf4-8573-4c29-a912-bbcdac835909_Name">
    <vt:lpwstr>06530cf4-8573-4c29-a912-bbcdac835909</vt:lpwstr>
  </property>
  <property fmtid="{D5CDD505-2E9C-101B-9397-08002B2CF9AE}" pid="6" name="MSIP_Label_06530cf4-8573-4c29-a912-bbcdac835909_SiteId">
    <vt:lpwstr>ecaa386b-c8df-4ce0-ad01-740cbdb5ba55</vt:lpwstr>
  </property>
  <property fmtid="{D5CDD505-2E9C-101B-9397-08002B2CF9AE}" pid="7" name="MSIP_Label_06530cf4-8573-4c29-a912-bbcdac835909_ActionId">
    <vt:lpwstr>079c3b66-8c42-41aa-8ad4-9d55cc94bc03</vt:lpwstr>
  </property>
  <property fmtid="{D5CDD505-2E9C-101B-9397-08002B2CF9AE}" pid="8" name="MSIP_Label_06530cf4-8573-4c29-a912-bbcdac835909_ContentBits">
    <vt:lpwstr>2</vt:lpwstr>
  </property>
</Properties>
</file>