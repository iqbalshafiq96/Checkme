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Process Monitoring Training (MPSM and ANN) UMP/General_Iqbal/"/>
    </mc:Choice>
  </mc:AlternateContent>
  <xr:revisionPtr revIDLastSave="52" documentId="11_F25DC773A252ABDACC10483E915F6A145ADE5906" xr6:coauthVersionLast="47" xr6:coauthVersionMax="47" xr10:uidLastSave="{171B77C7-BAEC-4051-B1CB-DCC35C825E46}"/>
  <bookViews>
    <workbookView xWindow="-120" yWindow="-120" windowWidth="29040" windowHeight="15840" xr2:uid="{00000000-000D-0000-FFFF-FFFF00000000}"/>
  </bookViews>
  <sheets>
    <sheet name="numpy" sheetId="1" r:id="rId1"/>
    <sheet name="sympy live she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0" i="1" l="1"/>
  <c r="Q70" i="1"/>
  <c r="R70" i="1"/>
  <c r="S70" i="1"/>
  <c r="T70" i="1"/>
  <c r="U70" i="1"/>
  <c r="V70" i="1"/>
  <c r="W70" i="1"/>
  <c r="X70" i="1"/>
  <c r="Y70" i="1"/>
  <c r="AA70" i="1"/>
  <c r="AB70" i="1"/>
  <c r="Q71" i="1"/>
  <c r="R71" i="1"/>
  <c r="S71" i="1"/>
  <c r="T71" i="1"/>
  <c r="U71" i="1"/>
  <c r="V71" i="1"/>
  <c r="W71" i="1"/>
  <c r="X71" i="1"/>
  <c r="Y71" i="1"/>
  <c r="Z71" i="1"/>
  <c r="AA71" i="1"/>
  <c r="AB71" i="1"/>
  <c r="Q72" i="1"/>
  <c r="R72" i="1"/>
  <c r="S72" i="1"/>
  <c r="T72" i="1"/>
  <c r="U72" i="1"/>
  <c r="V72" i="1"/>
  <c r="W72" i="1"/>
  <c r="X72" i="1"/>
  <c r="Y72" i="1"/>
  <c r="Z72" i="1"/>
  <c r="AA72" i="1"/>
  <c r="AB72" i="1"/>
  <c r="Q73" i="1"/>
  <c r="R73" i="1"/>
  <c r="S73" i="1"/>
  <c r="T73" i="1"/>
  <c r="U73" i="1"/>
  <c r="V73" i="1"/>
  <c r="W73" i="1"/>
  <c r="X73" i="1"/>
  <c r="Y73" i="1"/>
  <c r="Z73" i="1"/>
  <c r="AA73" i="1"/>
  <c r="AB73" i="1"/>
  <c r="Q74" i="1"/>
  <c r="R74" i="1"/>
  <c r="S74" i="1"/>
  <c r="T74" i="1"/>
  <c r="U74" i="1"/>
  <c r="V74" i="1"/>
  <c r="W74" i="1"/>
  <c r="X74" i="1"/>
  <c r="Y74" i="1"/>
  <c r="Z74" i="1"/>
  <c r="AA74" i="1"/>
  <c r="AB74" i="1"/>
  <c r="Q75" i="1"/>
  <c r="R75" i="1"/>
  <c r="S75" i="1"/>
  <c r="T75" i="1"/>
  <c r="U75" i="1"/>
  <c r="V75" i="1"/>
  <c r="W75" i="1"/>
  <c r="X75" i="1"/>
  <c r="Y75" i="1"/>
  <c r="Z75" i="1"/>
  <c r="AA75" i="1"/>
  <c r="AB75" i="1"/>
  <c r="Q76" i="1"/>
  <c r="R76" i="1"/>
  <c r="S76" i="1"/>
  <c r="T76" i="1"/>
  <c r="U76" i="1"/>
  <c r="V76" i="1"/>
  <c r="W76" i="1"/>
  <c r="X76" i="1"/>
  <c r="Y76" i="1"/>
  <c r="Z76" i="1"/>
  <c r="AA76" i="1"/>
  <c r="AB76" i="1"/>
  <c r="Q77" i="1"/>
  <c r="R77" i="1"/>
  <c r="S77" i="1"/>
  <c r="T77" i="1"/>
  <c r="U77" i="1"/>
  <c r="V77" i="1"/>
  <c r="W77" i="1"/>
  <c r="X77" i="1"/>
  <c r="Y77" i="1"/>
  <c r="Z77" i="1"/>
  <c r="AA77" i="1"/>
  <c r="AB77" i="1"/>
  <c r="Q78" i="1"/>
  <c r="R78" i="1"/>
  <c r="S78" i="1"/>
  <c r="T78" i="1"/>
  <c r="U78" i="1"/>
  <c r="V78" i="1"/>
  <c r="W78" i="1"/>
  <c r="X78" i="1"/>
  <c r="Y78" i="1"/>
  <c r="Z78" i="1"/>
  <c r="AA78" i="1"/>
  <c r="AB78" i="1"/>
  <c r="Q79" i="1"/>
  <c r="R79" i="1"/>
  <c r="S79" i="1"/>
  <c r="T79" i="1"/>
  <c r="U79" i="1"/>
  <c r="V79" i="1"/>
  <c r="W79" i="1"/>
  <c r="X79" i="1"/>
  <c r="Y79" i="1"/>
  <c r="Z79" i="1"/>
  <c r="AA79" i="1"/>
  <c r="AB79" i="1"/>
  <c r="Q80" i="1"/>
  <c r="R80" i="1"/>
  <c r="S80" i="1"/>
  <c r="T80" i="1"/>
  <c r="U80" i="1"/>
  <c r="V80" i="1"/>
  <c r="W80" i="1"/>
  <c r="X80" i="1"/>
  <c r="Y80" i="1"/>
  <c r="Z80" i="1"/>
  <c r="AA80" i="1"/>
  <c r="AB80" i="1"/>
  <c r="Q81" i="1"/>
  <c r="R81" i="1"/>
  <c r="S81" i="1"/>
  <c r="T81" i="1"/>
  <c r="U81" i="1"/>
  <c r="V81" i="1"/>
  <c r="W81" i="1"/>
  <c r="X81" i="1"/>
  <c r="Y81" i="1"/>
  <c r="Z81" i="1"/>
  <c r="AA81" i="1"/>
  <c r="AB81" i="1"/>
  <c r="Q82" i="1"/>
  <c r="R82" i="1"/>
  <c r="S82" i="1"/>
  <c r="T82" i="1"/>
  <c r="U82" i="1"/>
  <c r="V82" i="1"/>
  <c r="W82" i="1"/>
  <c r="X82" i="1"/>
  <c r="Y82" i="1"/>
  <c r="Z82" i="1"/>
  <c r="AA82" i="1"/>
  <c r="AB82" i="1"/>
  <c r="P71" i="1"/>
  <c r="P72" i="1"/>
  <c r="P73" i="1"/>
  <c r="P74" i="1"/>
  <c r="P75" i="1"/>
  <c r="P76" i="1"/>
  <c r="P77" i="1"/>
  <c r="P78" i="1"/>
  <c r="P79" i="1"/>
  <c r="P80" i="1"/>
  <c r="P81" i="1"/>
  <c r="P82" i="1"/>
  <c r="P70" i="1"/>
  <c r="B30" i="1" l="1"/>
  <c r="B20" i="1"/>
  <c r="B21" i="1"/>
  <c r="B22" i="1"/>
  <c r="B23" i="1"/>
  <c r="B24" i="1"/>
  <c r="B25" i="1"/>
  <c r="B26" i="1"/>
  <c r="B27" i="1"/>
  <c r="B28" i="1"/>
  <c r="B29" i="1"/>
  <c r="B19" i="1"/>
  <c r="B18" i="1"/>
  <c r="B32" i="1" l="1"/>
</calcChain>
</file>

<file path=xl/sharedStrings.xml><?xml version="1.0" encoding="utf-8"?>
<sst xmlns="http://schemas.openxmlformats.org/spreadsheetml/2006/main" count="201" uniqueCount="201">
  <si>
    <t>([[1, -0.447865406790469, 0.075315172703734, 0.246933902019146, 0.520773983497202, 0.461198266297033, -0.330254917115046, 0.0491694951878376, -0.29929996650846, -0.395468373849776, -0.493557898707646, 0.557015592954299, -0.333553427873513],[-0.447865406790469, 1, 0.158376564635034, -0.149602814210307, -0.31212013625546, -0.199913380125362, -0.0656361392812864, 0.058054127380384, 0.0929639505681241, 0.332519047471874, 0.186430790970379, -0.252921047773358, -0.0840114361835901],[0.075315172703734, 0.158376564635034, 1, -0.291006485110728, 0.00248879813505267, 0.164103302490194, 0.142704871454751, 0.165929090543629, -0.10467630011335, 0.0860964038017474, -0.151112933701994, -0.0506569140835627, 0.0636619019748319],[0.246933902019146, -0.149602814210307, -0.291006485110728, 1, 0.188416647314579, 0.257150949732321, -0.0366120335273854, -0.0148449963438809, -0.0193900389940701, -0.0164382325368916, -0.251615769593213, 0.214197564679494, -0.056715889115575],[0.520773983497202, -0.31212013625546, 0.00248879813505267, 0.188416647314579, 1, 0.28115796641289, -0.237267025513048, -0.0374414047810278, 0.124841716165372, 0.032050242861983, -0.29644651562131, 0.956741942289863, -0.21384528018186],[0.461198266297033, -0.199913380125362, 0.164103302490194, 0.257150949732321, 0.28115796641289, 1, -0.440924750229754, 0.113795018653236, -0.385711114150784, 0.290935380270078, -0.995022867897055, 0.309921912106302, -0.540552659828907],[-0.330254917115046, -0.0656361392812864, 0.142704871454751, -0.0366120335273854, -0.237267025513048, -0.440924750229754, 1, 0.028890789262723, 0.150307443780654, -0.146571258627231, 0.453047501124313, -0.257437334707833, 0.954826978721825],[0.0491694951878376, 0.058054127380384, 0.165929090543629, -0.0148449963438809, -0.0374414047810278, 0.113795018653236, 0.028890789262723, 1, -0.130397304040977, -0.132457897778713, -0.137912187050563, -0.0921006360894754, -0.0290576730779902],[-0.29929996650846, 0.0929639505681241, -0.10467630011335, -0.0193900389940701, 0.124841716165372, -0.385711114150784, 0.150307443780654, -0.130397304040977, 1, -0.0550411750453923, 0.3805916686618, 0.162101518550763, 0.283627033915133],[-0.395468373849776, 0.332519047471874, 0.0860964038017474, -0.0164382325368916, 0.032050242861983, 0.290935380270078, -0.146571258627231, -0.132457897778713, -0.0550411750453923, 1, -0.262079933476219, 0.0672935348727054, -0.258789040479024],[-0.493557898707646, 0.186430790970379, -0.151112933701994, -0.251615769593213, -0.29644651562131, -0.995022867897055, 0.453047501124313, -0.137912187050563, 0.3805916686618, -0.262079933476219, 1, -0.327444579102365, 0.550951484170064],[0.557015592954299, -0.252921047773358, -0.0506569140835627, 0.214197564679494, 0.956741942289863, 0.309921912106302, -0.257437334707833, -0.0921006360894754, 0.162101518550763, 0.0672935348727054, -0.327444579102365, 1, -0.237468531055591],[-0.333553427873513, -0.0840114361835901, 0.0636619019748319, -0.056715889115575, -0.21384528018186, -0.540552659828907, 0.954826978721825, -0.0290576730779902, 0.283627033915133, -0.258789040479024, 0.550951484170064, -0.237468531055591, 1]]),</t>
  </si>
  <si>
    <t>To Python =&gt;</t>
  </si>
  <si>
    <t>From Python</t>
  </si>
  <si>
    <t>Eigenvalues</t>
  </si>
  <si>
    <t>Eigenvector</t>
  </si>
  <si>
    <t>Delimiters</t>
  </si>
  <si>
    <t>4.06301417e+00 2.17035690e+00 1.60086104e+00 1.31747354e+00 1.13417065e+00 9.33535425e-01 6.43589895e-01 5.88688404e-01 3.45240213e-01 1.49428497e-01 2.74852329e-03 2.83259565e-02 2.25667874e-02</t>
  </si>
  <si>
    <t>-0.35919554  0.26977001  0.26668323 -0.04495466 -0.21133916 -0.07922057 -0.29917891  0.06095284 -0.14435736 -0.71614457 0.05551473 0.17420143 -0.11733846</t>
  </si>
  <si>
    <t>0.15036911 -0.39149167 -0.28535995  0.16534819 -0.08841948  0.3167781  -0.53518395  0.24329952 -0.50229415  0.02445506  0.03810803  0.05995353  -0.06021695</t>
  </si>
  <si>
    <t xml:space="preserve">-0.01041354 -0.1665046   0.27645336  0.66447554 -0.12695454 -0.14129214  -0.40449785 -0.20023801  0.44380033  0.09458105 -0.0315805  -0.03969789   0.07708   </t>
  </si>
  <si>
    <t>-0.15749115  0.17505351 -0.01605055 -0.31853774  0.56718469  0.38227785  -0.48161931 -0.00431898  0.37031088  0.06730995 -0.01965519 -0.00682098   0.03040774</t>
  </si>
  <si>
    <t xml:space="preserve">-0.30951113  0.38020707 -0.23372086  0.30841488 -0.05947281  0.06494483   0.08400295  0.26454414  0.06181029  0.36000094  0.04341434  0.43551505  -0.4473544 </t>
  </si>
  <si>
    <t>-0.41586159 -0.19485696  0.15262535  0.08310014  0.27618752 -0.04040814   0.08472295 -0.27534753 -0.27642165  0.15126477  0.70319545  0.00295009   0.06481254</t>
  </si>
  <si>
    <t>0.33338369  0.2307843   0.26418378  0.26657263  0.40631103 -0.04380657   0.03238564  0.13137268 -0.20676049 -0.097255    0.04570007 -0.44826817  -0.50416596</t>
  </si>
  <si>
    <t>-0.02812468 -0.10478899  0.37555739  0.15654721 -0.15521769  0.79589695   0.36360992  0.1036729   0.09485324 -0.10441213  0.01335032  0.00715143   0.04521886</t>
  </si>
  <si>
    <t>0.16833345  0.26034613 -0.42922843  0.16513548 -0.05310455  0.27075058   0.02407304 -0.74522793 -0.05484032 -0.21071198  0.02100631  0.01125845  -0.11104868</t>
  </si>
  <si>
    <t>-0.07072242 -0.37149634 -0.39103372  0.26850387  0.4203845  -0.08605508   0.27261617  0.20936856  0.25348256 -0.49520539 -0.0072742   0.14198036   0.00325667</t>
  </si>
  <si>
    <t>0.42189456  0.18537541 -0.15613739 -0.07928799 -0.24487452  0.01080549  -0.07391169  0.26391249  0.33695735 -0.10285079  0.70097625 -0.02666368   0.07473452</t>
  </si>
  <si>
    <t>-0.32009747  0.37040388 -0.28094116  0.28185292 -0.03228411  0.0616609   0.01881101  0.23073706 -0.12196853  0.00344085 -0.04736435 -0.52461918   0.50117359</t>
  </si>
  <si>
    <t>0.35914743  0.3024391   0.20385798  0.21203761  0.31647285 -0.03773735   0.01682563  0.03286664 -0.25518373 -0.00158724 -0.03662782  0.52681877   0.49606686</t>
  </si>
  <si>
    <r>
      <t>Eigenvector (</t>
    </r>
    <r>
      <rPr>
        <i/>
        <sz val="11"/>
        <color theme="1"/>
        <rFont val="Arial"/>
        <family val="2"/>
      </rPr>
      <t>Python)</t>
    </r>
  </si>
  <si>
    <r>
      <t>Eigenvector (</t>
    </r>
    <r>
      <rPr>
        <i/>
        <sz val="11"/>
        <color theme="1"/>
        <rFont val="Arial"/>
        <family val="2"/>
      </rPr>
      <t>Matlab)</t>
    </r>
  </si>
  <si>
    <r>
      <t xml:space="preserve">Eigenvalues </t>
    </r>
    <r>
      <rPr>
        <i/>
        <sz val="11"/>
        <color theme="1"/>
        <rFont val="Arial"/>
        <family val="2"/>
      </rPr>
      <t>(Python)</t>
    </r>
  </si>
  <si>
    <r>
      <t xml:space="preserve">Eigenvalues </t>
    </r>
    <r>
      <rPr>
        <i/>
        <sz val="11"/>
        <color theme="1"/>
        <rFont val="Arial"/>
        <family val="2"/>
      </rPr>
      <t>(Matlab)</t>
    </r>
  </si>
  <si>
    <t>{4.06301416762850: 1, 2.17035689791742: 1, 1.60086104067191: 1, 1.31747354042763: 1, 1.13417065151066: 1, 0.933535424886457: 1, 0.643589895067537: 1, 0.588688403780525: 1, 0.345240213434769: 1, 0.149428497489956: 1, 0.00274852329016979: 1, 0.0225667874215218: 1, 0.0283259564729596: 1}</t>
  </si>
  <si>
    <t>[(4.06301416762850, 1, [Matrix([</t>
  </si>
  <si>
    <t>[ 0.359195544428322],</t>
  </si>
  <si>
    <t>[-0.150369112168958],</t>
  </si>
  <si>
    <t>[0.0104135384035535],</t>
  </si>
  <si>
    <t>[ 0.157491148533881],</t>
  </si>
  <si>
    <t>[ 0.309511134844346],</t>
  </si>
  <si>
    <t>[ 0.415861588121729],</t>
  </si>
  <si>
    <t>[-0.333383694894442],</t>
  </si>
  <si>
    <t>[0.0281246788240393],</t>
  </si>
  <si>
    <t>[-0.168333446851751],</t>
  </si>
  <si>
    <t>[0.0707224239035337],</t>
  </si>
  <si>
    <t>[-0.421894558198225],</t>
  </si>
  <si>
    <t>[ 0.320097474835672],</t>
  </si>
  <si>
    <t>[-0.359147429987098]])]), (2.17035689791742, 1, [Matrix([</t>
  </si>
  <si>
    <t>[-0.269770012659993],</t>
  </si>
  <si>
    <t>[ 0.391491668770467],</t>
  </si>
  <si>
    <t>[ 0.166504601342836],</t>
  </si>
  <si>
    <t>[-0.175053514054639],</t>
  </si>
  <si>
    <t>[-0.380207069305043],</t>
  </si>
  <si>
    <t>[ 0.194856963248821],</t>
  </si>
  <si>
    <t>[-0.230784299993772],</t>
  </si>
  <si>
    <t>[ 0.104788994302748],</t>
  </si>
  <si>
    <t>[ -0.26034612958694],</t>
  </si>
  <si>
    <t>[  0.37149633787776],</t>
  </si>
  <si>
    <t>[-0.185375405111972],</t>
  </si>
  <si>
    <t>[-0.370403882914132],</t>
  </si>
  <si>
    <t>[-0.302439096065752]])]), (1.60086104067191, 1, [Matrix([</t>
  </si>
  <si>
    <t>[-0.266683228507422],</t>
  </si>
  <si>
    <t>[ 0.285359949687649],</t>
  </si>
  <si>
    <t>[ -0.27645335784725],</t>
  </si>
  <si>
    <t>[0.0160505521056801],</t>
  </si>
  <si>
    <t>[ 0.233720862316127],</t>
  </si>
  <si>
    <t>[-0.152625348196511],</t>
  </si>
  <si>
    <t>[ -0.26418377833714],</t>
  </si>
  <si>
    <t>[-0.375557392393389],</t>
  </si>
  <si>
    <t>[ 0.429228429435176],</t>
  </si>
  <si>
    <t>[ 0.391033722152657],</t>
  </si>
  <si>
    <t>[  0.15613738635395],</t>
  </si>
  <si>
    <t>[ 0.280941163138906],</t>
  </si>
  <si>
    <t>[ -0.20385798068327]])]), (1.31747354042763, 1, [Matrix([</t>
  </si>
  <si>
    <t>[ 0.0449546600409868],</t>
  </si>
  <si>
    <t>[ -0.165348190729271],</t>
  </si>
  <si>
    <t>[ -0.664475539531204],</t>
  </si>
  <si>
    <t>[  0.318537735040664],</t>
  </si>
  <si>
    <t>[ -0.308414884030481],</t>
  </si>
  <si>
    <t>[-0.0831001430677951],</t>
  </si>
  <si>
    <t>[ -0.266572625944192],</t>
  </si>
  <si>
    <t>[ -0.156547213068608],</t>
  </si>
  <si>
    <t>[  -0.16513547926665],</t>
  </si>
  <si>
    <t>[ -0.268503869080515],</t>
  </si>
  <si>
    <t>[ 0.0792879885509557],</t>
  </si>
  <si>
    <t>[ -0.281852916357332],</t>
  </si>
  <si>
    <t>[ -0.212037609823964]])]), (1.13417065151066, 1, [Matrix([</t>
  </si>
  <si>
    <t>[ 0.211339158881965],</t>
  </si>
  <si>
    <t>[0.0884194773342053],</t>
  </si>
  <si>
    <t>[ 0.126954537225512],</t>
  </si>
  <si>
    <t>[-0.567184686100705],</t>
  </si>
  <si>
    <t>[0.0594728081028786],</t>
  </si>
  <si>
    <t>[-0.276187519964565],</t>
  </si>
  <si>
    <t>[-0.406311033620483],</t>
  </si>
  <si>
    <t>[ 0.155217694791993],</t>
  </si>
  <si>
    <t>[0.0531045511458747],</t>
  </si>
  <si>
    <t>[-0.420384504423973],</t>
  </si>
  <si>
    <t>[  0.24487452272846],</t>
  </si>
  <si>
    <t>[0.0322841056358767],</t>
  </si>
  <si>
    <t>[-0.316472847342725]])]), (0.933535424886457, 1, [Matrix([</t>
  </si>
  <si>
    <t>[-0.0792205676301183],</t>
  </si>
  <si>
    <t>[  0.316778104167747],</t>
  </si>
  <si>
    <t>[ -0.141292140109201],</t>
  </si>
  <si>
    <t>[  0.382277849058989],</t>
  </si>
  <si>
    <t>[ 0.0649448258468886],</t>
  </si>
  <si>
    <t>[-0.0404081396483314],</t>
  </si>
  <si>
    <t>[-0.0438065729532464],</t>
  </si>
  <si>
    <t>[  0.795896953677325],</t>
  </si>
  <si>
    <t>[  0.270750579758797],</t>
  </si>
  <si>
    <t>[-0.0860550820053631],</t>
  </si>
  <si>
    <t>[ 0.0108054873705067],</t>
  </si>
  <si>
    <t>[ 0.0616609016354188],</t>
  </si>
  <si>
    <t>[-0.0377373536312229]])]), (0.643589895067537, 1, [Matrix([</t>
  </si>
  <si>
    <t>[  0.299178910849505],</t>
  </si>
  <si>
    <t>[  0.535183949059367],</t>
  </si>
  <si>
    <t>[  0.404497848054671],</t>
  </si>
  <si>
    <t>[  0.481619307026178],</t>
  </si>
  <si>
    <t>[ -0.084002947558486],</t>
  </si>
  <si>
    <t>[-0.0847229481555469],</t>
  </si>
  <si>
    <t>[-0.0323856427303022],</t>
  </si>
  <si>
    <t>[ -0.363609915871681],</t>
  </si>
  <si>
    <t>[  -0.02407303786176],</t>
  </si>
  <si>
    <t>[ -0.272616167734952],</t>
  </si>
  <si>
    <t>[ 0.0739116925202485],</t>
  </si>
  <si>
    <t>[-0.0188110060291423],</t>
  </si>
  <si>
    <t>[-0.0168256284138377]])]), (0.588688403780525, 1, [Matrix([</t>
  </si>
  <si>
    <t>[-0.0609528359633621],</t>
  </si>
  <si>
    <t>[ -0.243299520302531],</t>
  </si>
  <si>
    <t>[  0.200238010285739],</t>
  </si>
  <si>
    <t>[0.00431898244958198],</t>
  </si>
  <si>
    <t>[ -0.264544140855639],</t>
  </si>
  <si>
    <t>[  0.275347527124267],</t>
  </si>
  <si>
    <t>[ -0.131372681576458],</t>
  </si>
  <si>
    <t>[ -0.103672903554575],</t>
  </si>
  <si>
    <t>[  0.745227928243438],</t>
  </si>
  <si>
    <t>[ -0.209368559604313],</t>
  </si>
  <si>
    <t>[ -0.263912485498347],</t>
  </si>
  <si>
    <t>[ -0.230737059841209],</t>
  </si>
  <si>
    <t>[-0.0328666352794976]])]), (0.345240213434769, 1, [Matrix([</t>
  </si>
  <si>
    <t>[ -0.144357360086382],</t>
  </si>
  <si>
    <t>[ -0.502294149522718],</t>
  </si>
  <si>
    <t>[  0.443800325721813],</t>
  </si>
  <si>
    <t>[  0.370310884915977],</t>
  </si>
  <si>
    <t>[ 0.0618102938548102],</t>
  </si>
  <si>
    <t>[ -0.276421646352467],</t>
  </si>
  <si>
    <t>[ -0.206760490830974],</t>
  </si>
  <si>
    <t>[ 0.0948532424465474],</t>
  </si>
  <si>
    <t>[-0.0548403190235959],</t>
  </si>
  <si>
    <t>[  0.253482560886183],</t>
  </si>
  <si>
    <t>[  0.336957348273179],</t>
  </si>
  <si>
    <t>[ -0.121968525130941],</t>
  </si>
  <si>
    <t>[ -0.255183732307229]])]), (0.149428497489956, 1, [Matrix([</t>
  </si>
  <si>
    <t>[   0.716144570530321],</t>
  </si>
  <si>
    <t>[  -0.024455061502514],</t>
  </si>
  <si>
    <t>[ -0.0945810524627864],</t>
  </si>
  <si>
    <t>[ -0.0673099541588209],</t>
  </si>
  <si>
    <t>[  -0.360000942265096],</t>
  </si>
  <si>
    <t>[  -0.151264768113853],</t>
  </si>
  <si>
    <t>[  0.0972550006703918],</t>
  </si>
  <si>
    <t>[   0.104412125678054],</t>
  </si>
  <si>
    <t>[   0.210711979464012],</t>
  </si>
  <si>
    <t>[   0.495205392140366],</t>
  </si>
  <si>
    <t>[   0.102850792549297],</t>
  </si>
  <si>
    <t>[-0.00344085032790965],</t>
  </si>
  <si>
    <t>[ 0.00158724011542939]])]), (0.00274852329016979, 1, [Matrix([</t>
  </si>
  <si>
    <t>[-0.0555147282244079],</t>
  </si>
  <si>
    <t>[-0.0381080346904007],</t>
  </si>
  <si>
    <t>[ 0.0315804957825803],</t>
  </si>
  <si>
    <t>[ 0.0196551888411081],</t>
  </si>
  <si>
    <t>[-0.0434143359095238],</t>
  </si>
  <si>
    <t>[  -0.70319545282599],</t>
  </si>
  <si>
    <t>[-0.0457000736823536],</t>
  </si>
  <si>
    <t>[-0.0133503216900922],</t>
  </si>
  <si>
    <t>[-0.0210063134406956],</t>
  </si>
  <si>
    <t>[0.00727419729874616],</t>
  </si>
  <si>
    <t>[ -0.700976249946358],</t>
  </si>
  <si>
    <t>[ 0.0473643517532635],</t>
  </si>
  <si>
    <t>[ 0.0366278208737781]])]), (0.0225667874215218, 1, [Matrix([</t>
  </si>
  <si>
    <t>[   0.117338455046518],</t>
  </si>
  <si>
    <t>[  0.0602169492438384],</t>
  </si>
  <si>
    <t>[ -0.0770800008104991],</t>
  </si>
  <si>
    <t>[ -0.0304077352791916],</t>
  </si>
  <si>
    <t>[   0.447354398969722],</t>
  </si>
  <si>
    <t>[ -0.0648125416764104],</t>
  </si>
  <si>
    <t>[   0.504165962147857],</t>
  </si>
  <si>
    <t>[ -0.0452188582064379],</t>
  </si>
  <si>
    <t>[   0.111048680960199],</t>
  </si>
  <si>
    <t>[-0.00325667023887268],</t>
  </si>
  <si>
    <t>[ -0.0747345216544979],</t>
  </si>
  <si>
    <t>[  -0.501173589091839],</t>
  </si>
  <si>
    <t>[  -0.496066862595208]])]), (0.0283259564729596, 1, [Matrix([</t>
  </si>
  <si>
    <t>[   0.174201425339682],</t>
  </si>
  <si>
    <t>[  0.0599535253444267],</t>
  </si>
  <si>
    <t>[ -0.0396978864911919],</t>
  </si>
  <si>
    <t>[-0.00682097613721069],</t>
  </si>
  <si>
    <t>[   0.435515054870458],</t>
  </si>
  <si>
    <t>[ 0.00295009461590413],</t>
  </si>
  <si>
    <t>[  -0.448268169930944],</t>
  </si>
  <si>
    <t>[ 0.00715142602590541],</t>
  </si>
  <si>
    <t>[  0.0112584513341876],</t>
  </si>
  <si>
    <t>[   0.141980364287257],</t>
  </si>
  <si>
    <t>[ -0.0266636806419023],</t>
  </si>
  <si>
    <t>[  -0.524619178764933],</t>
  </si>
  <si>
    <t>[    0.52681877148941]])])]</t>
  </si>
  <si>
    <t>[ ]:</t>
  </si>
  <si>
    <t>​</t>
  </si>
  <si>
    <t>x</t>
  </si>
  <si>
    <t>Extracted</t>
  </si>
  <si>
    <t>Correlation Matrix (from Excel)</t>
  </si>
  <si>
    <t>Correlation Matrix in sentence formulation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</si>
</sst>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Var(--jp-code-font-family)"/>
    </font>
    <font>
      <sz val="10"/>
      <color rgb="FF000000"/>
      <name val="Var(--jp-code-font-family)"/>
    </font>
    <font>
      <sz val="11"/>
      <color rgb="FF000000"/>
      <name val="Var(--jp-cell-prompt-font-famil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1" fillId="0" borderId="0" xfId="0" quotePrefix="1" applyFont="1" applyAlignment="1"/>
    <xf numFmtId="164" fontId="1" fillId="0" borderId="0" xfId="0" applyNumberFormat="1" applyFont="1"/>
    <xf numFmtId="164" fontId="1" fillId="0" borderId="0" xfId="0" applyNumberFormat="1" applyFont="1" applyAlignment="1"/>
    <xf numFmtId="9" fontId="1" fillId="0" borderId="0" xfId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177</xdr:row>
          <xdr:rowOff>0</xdr:rowOff>
        </xdr:from>
        <xdr:to>
          <xdr:col>9</xdr:col>
          <xdr:colOff>161925</xdr:colOff>
          <xdr:row>181</xdr:row>
          <xdr:rowOff>161925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G82"/>
  <sheetViews>
    <sheetView tabSelected="1" zoomScale="115" zoomScaleNormal="115" workbookViewId="0">
      <selection activeCell="B36" sqref="B36"/>
    </sheetView>
  </sheetViews>
  <sheetFormatPr defaultRowHeight="14.25"/>
  <cols>
    <col min="1" max="1" width="40.28515625" style="1" customWidth="1"/>
    <col min="2" max="4" width="16.7109375" style="1" bestFit="1" customWidth="1"/>
    <col min="5" max="5" width="11.85546875" style="1" bestFit="1" customWidth="1"/>
    <col min="6" max="8" width="16.7109375" style="1" bestFit="1" customWidth="1"/>
    <col min="9" max="9" width="11.85546875" style="1" bestFit="1" customWidth="1"/>
    <col min="10" max="12" width="16.7109375" style="1" bestFit="1" customWidth="1"/>
    <col min="13" max="14" width="11.85546875" style="1" bestFit="1" customWidth="1"/>
    <col min="15" max="15" width="9.140625" style="1"/>
    <col min="16" max="16" width="15.140625" style="1" customWidth="1"/>
    <col min="17" max="16384" width="9.140625" style="1"/>
  </cols>
  <sheetData>
    <row r="3" spans="1:14">
      <c r="A3" s="1" t="s">
        <v>199</v>
      </c>
      <c r="B3" s="1">
        <v>1</v>
      </c>
      <c r="C3" s="1">
        <v>-0.44786540679046877</v>
      </c>
      <c r="D3" s="1">
        <v>7.5315172703734001E-2</v>
      </c>
      <c r="E3" s="1">
        <v>0.24693390201914572</v>
      </c>
      <c r="F3" s="1">
        <v>0.52077398349720161</v>
      </c>
      <c r="G3" s="1">
        <v>0.46119826629703276</v>
      </c>
      <c r="H3" s="1">
        <v>-0.3302549171150464</v>
      </c>
      <c r="I3" s="1">
        <v>4.9169495187837552E-2</v>
      </c>
      <c r="J3" s="1">
        <v>-0.29929996650846019</v>
      </c>
      <c r="K3" s="1">
        <v>-0.39546837384977562</v>
      </c>
      <c r="L3" s="1">
        <v>-0.49355789870764644</v>
      </c>
      <c r="M3" s="1">
        <v>0.55701559295429914</v>
      </c>
      <c r="N3" s="1">
        <v>-0.33355342787351289</v>
      </c>
    </row>
    <row r="4" spans="1:14">
      <c r="B4" s="1">
        <v>-0.44786540679046877</v>
      </c>
      <c r="C4" s="1">
        <v>1</v>
      </c>
      <c r="D4" s="1">
        <v>0.15837656463503358</v>
      </c>
      <c r="E4" s="1">
        <v>-0.14960281421030652</v>
      </c>
      <c r="F4" s="1">
        <v>-0.31212013625546031</v>
      </c>
      <c r="G4" s="1">
        <v>-0.19991338012536231</v>
      </c>
      <c r="H4" s="1">
        <v>-6.5636139281286351E-2</v>
      </c>
      <c r="I4" s="1">
        <v>5.8054127380383985E-2</v>
      </c>
      <c r="J4" s="1">
        <v>9.2963950568124135E-2</v>
      </c>
      <c r="K4" s="1">
        <v>0.33251904747187444</v>
      </c>
      <c r="L4" s="1">
        <v>0.18643079097037901</v>
      </c>
      <c r="M4" s="1">
        <v>-0.25292104777335783</v>
      </c>
      <c r="N4" s="1">
        <v>-8.4011436183590124E-2</v>
      </c>
    </row>
    <row r="5" spans="1:14">
      <c r="B5" s="1">
        <v>7.5315172703734001E-2</v>
      </c>
      <c r="C5" s="1">
        <v>0.15837656463503358</v>
      </c>
      <c r="D5" s="1">
        <v>1</v>
      </c>
      <c r="E5" s="1">
        <v>-0.29100648511072796</v>
      </c>
      <c r="F5" s="1">
        <v>2.4887981350526695E-3</v>
      </c>
      <c r="G5" s="1">
        <v>0.16410330249019436</v>
      </c>
      <c r="H5" s="1">
        <v>0.14270487145475069</v>
      </c>
      <c r="I5" s="1">
        <v>0.16592909054362925</v>
      </c>
      <c r="J5" s="1">
        <v>-0.10467630011334972</v>
      </c>
      <c r="K5" s="1">
        <v>8.609640380174742E-2</v>
      </c>
      <c r="L5" s="1">
        <v>-0.15111293370199433</v>
      </c>
      <c r="M5" s="1">
        <v>-5.0656914083562654E-2</v>
      </c>
      <c r="N5" s="1">
        <v>6.366190197483193E-2</v>
      </c>
    </row>
    <row r="6" spans="1:14">
      <c r="B6" s="1">
        <v>0.24693390201914572</v>
      </c>
      <c r="C6" s="1">
        <v>-0.14960281421030652</v>
      </c>
      <c r="D6" s="1">
        <v>-0.29100648511072796</v>
      </c>
      <c r="E6" s="1">
        <v>1</v>
      </c>
      <c r="F6" s="1">
        <v>0.18841664731457911</v>
      </c>
      <c r="G6" s="1">
        <v>0.25715094973232078</v>
      </c>
      <c r="H6" s="1">
        <v>-3.6612033527385408E-2</v>
      </c>
      <c r="I6" s="1">
        <v>-1.484499634388089E-2</v>
      </c>
      <c r="J6" s="1">
        <v>-1.9390038994070082E-2</v>
      </c>
      <c r="K6" s="1">
        <v>-1.6438232536891615E-2</v>
      </c>
      <c r="L6" s="1">
        <v>-0.25161576959321308</v>
      </c>
      <c r="M6" s="1">
        <v>0.21419756467949413</v>
      </c>
      <c r="N6" s="1">
        <v>-5.6715889115574958E-2</v>
      </c>
    </row>
    <row r="7" spans="1:14">
      <c r="B7" s="1">
        <v>0.52077398349720161</v>
      </c>
      <c r="C7" s="1">
        <v>-0.31212013625546031</v>
      </c>
      <c r="D7" s="1">
        <v>2.4887981350526695E-3</v>
      </c>
      <c r="E7" s="1">
        <v>0.18841664731457911</v>
      </c>
      <c r="F7" s="1">
        <v>1</v>
      </c>
      <c r="G7" s="1">
        <v>0.28115796641289048</v>
      </c>
      <c r="H7" s="1">
        <v>-0.23726702551304818</v>
      </c>
      <c r="I7" s="1">
        <v>-3.7441404781027754E-2</v>
      </c>
      <c r="J7" s="1">
        <v>0.12484171616537244</v>
      </c>
      <c r="K7" s="1">
        <v>3.2050242861983005E-2</v>
      </c>
      <c r="L7" s="1">
        <v>-0.29644651562130964</v>
      </c>
      <c r="M7" s="1">
        <v>0.95674194228986287</v>
      </c>
      <c r="N7" s="1">
        <v>-0.21384528018185966</v>
      </c>
    </row>
    <row r="8" spans="1:14">
      <c r="B8" s="1">
        <v>0.46119826629703276</v>
      </c>
      <c r="C8" s="1">
        <v>-0.19991338012536231</v>
      </c>
      <c r="D8" s="1">
        <v>0.16410330249019436</v>
      </c>
      <c r="E8" s="1">
        <v>0.25715094973232078</v>
      </c>
      <c r="F8" s="1">
        <v>0.28115796641289048</v>
      </c>
      <c r="G8" s="1">
        <v>1</v>
      </c>
      <c r="H8" s="1">
        <v>-0.44092475022975353</v>
      </c>
      <c r="I8" s="1">
        <v>0.11379501865323632</v>
      </c>
      <c r="J8" s="1">
        <v>-0.3857111141507843</v>
      </c>
      <c r="K8" s="1">
        <v>0.2909353802700782</v>
      </c>
      <c r="L8" s="1">
        <v>-0.99502286789705474</v>
      </c>
      <c r="M8" s="1">
        <v>0.30992191210630227</v>
      </c>
      <c r="N8" s="1">
        <v>-0.54055265982890677</v>
      </c>
    </row>
    <row r="9" spans="1:14">
      <c r="B9" s="1">
        <v>-0.3302549171150464</v>
      </c>
      <c r="C9" s="1">
        <v>-6.5636139281286351E-2</v>
      </c>
      <c r="D9" s="1">
        <v>0.14270487145475069</v>
      </c>
      <c r="E9" s="1">
        <v>-3.6612033527385408E-2</v>
      </c>
      <c r="F9" s="1">
        <v>-0.23726702551304818</v>
      </c>
      <c r="G9" s="1">
        <v>-0.44092475022975353</v>
      </c>
      <c r="H9" s="1">
        <v>1</v>
      </c>
      <c r="I9" s="1">
        <v>2.8890789262723017E-2</v>
      </c>
      <c r="J9" s="1">
        <v>0.15030744378065394</v>
      </c>
      <c r="K9" s="1">
        <v>-0.14657125862723097</v>
      </c>
      <c r="L9" s="1">
        <v>0.4530475011243133</v>
      </c>
      <c r="M9" s="1">
        <v>-0.25743733470783337</v>
      </c>
      <c r="N9" s="1">
        <v>0.9548269787218252</v>
      </c>
    </row>
    <row r="10" spans="1:14">
      <c r="B10" s="1">
        <v>4.9169495187837552E-2</v>
      </c>
      <c r="C10" s="1">
        <v>5.8054127380383985E-2</v>
      </c>
      <c r="D10" s="1">
        <v>0.16592909054362925</v>
      </c>
      <c r="E10" s="1">
        <v>-1.484499634388089E-2</v>
      </c>
      <c r="F10" s="1">
        <v>-3.7441404781027754E-2</v>
      </c>
      <c r="G10" s="1">
        <v>0.11379501865323632</v>
      </c>
      <c r="H10" s="1">
        <v>2.8890789262723017E-2</v>
      </c>
      <c r="I10" s="1">
        <v>1</v>
      </c>
      <c r="J10" s="1">
        <v>-0.13039730404097746</v>
      </c>
      <c r="K10" s="1">
        <v>-0.13245789777871261</v>
      </c>
      <c r="L10" s="1">
        <v>-0.13791218705056271</v>
      </c>
      <c r="M10" s="1">
        <v>-9.2100636089475357E-2</v>
      </c>
      <c r="N10" s="1">
        <v>-2.9057673077990176E-2</v>
      </c>
    </row>
    <row r="11" spans="1:14">
      <c r="B11" s="1">
        <v>-0.29929996650846019</v>
      </c>
      <c r="C11" s="1">
        <v>9.2963950568124135E-2</v>
      </c>
      <c r="D11" s="1">
        <v>-0.10467630011334972</v>
      </c>
      <c r="E11" s="1">
        <v>-1.9390038994070082E-2</v>
      </c>
      <c r="F11" s="1">
        <v>0.12484171616537244</v>
      </c>
      <c r="G11" s="1">
        <v>-0.3857111141507843</v>
      </c>
      <c r="H11" s="1">
        <v>0.15030744378065394</v>
      </c>
      <c r="I11" s="1">
        <v>-0.13039730404097746</v>
      </c>
      <c r="J11" s="1">
        <v>1</v>
      </c>
      <c r="K11" s="1">
        <v>-5.5041175045392271E-2</v>
      </c>
      <c r="L11" s="1">
        <v>0.38059166866180039</v>
      </c>
      <c r="M11" s="1">
        <v>0.16210151855076266</v>
      </c>
      <c r="N11" s="1">
        <v>0.28362703391513344</v>
      </c>
    </row>
    <row r="12" spans="1:14">
      <c r="B12" s="1">
        <v>-0.39546837384977562</v>
      </c>
      <c r="C12" s="1">
        <v>0.33251904747187444</v>
      </c>
      <c r="D12" s="1">
        <v>8.609640380174742E-2</v>
      </c>
      <c r="E12" s="1">
        <v>-1.6438232536891615E-2</v>
      </c>
      <c r="F12" s="1">
        <v>3.2050242861983005E-2</v>
      </c>
      <c r="G12" s="1">
        <v>0.2909353802700782</v>
      </c>
      <c r="H12" s="1">
        <v>-0.14657125862723097</v>
      </c>
      <c r="I12" s="1">
        <v>-0.13245789777871261</v>
      </c>
      <c r="J12" s="1">
        <v>-5.5041175045392271E-2</v>
      </c>
      <c r="K12" s="1">
        <v>1</v>
      </c>
      <c r="L12" s="1">
        <v>-0.26207993347621938</v>
      </c>
      <c r="M12" s="1">
        <v>6.7293534872705438E-2</v>
      </c>
      <c r="N12" s="1">
        <v>-0.25878904047902407</v>
      </c>
    </row>
    <row r="13" spans="1:14">
      <c r="B13" s="1">
        <v>-0.49355789870764644</v>
      </c>
      <c r="C13" s="1">
        <v>0.18643079097037901</v>
      </c>
      <c r="D13" s="1">
        <v>-0.15111293370199433</v>
      </c>
      <c r="E13" s="1">
        <v>-0.25161576959321308</v>
      </c>
      <c r="F13" s="1">
        <v>-0.29644651562130964</v>
      </c>
      <c r="G13" s="1">
        <v>-0.99502286789705474</v>
      </c>
      <c r="H13" s="1">
        <v>0.4530475011243133</v>
      </c>
      <c r="I13" s="1">
        <v>-0.13791218705056271</v>
      </c>
      <c r="J13" s="1">
        <v>0.38059166866180039</v>
      </c>
      <c r="K13" s="1">
        <v>-0.26207993347621938</v>
      </c>
      <c r="L13" s="1">
        <v>1</v>
      </c>
      <c r="M13" s="1">
        <v>-0.32744457910236463</v>
      </c>
      <c r="N13" s="1">
        <v>0.55095148417006379</v>
      </c>
    </row>
    <row r="14" spans="1:14">
      <c r="B14" s="1">
        <v>0.55701559295429914</v>
      </c>
      <c r="C14" s="1">
        <v>-0.25292104777335783</v>
      </c>
      <c r="D14" s="1">
        <v>-5.0656914083562654E-2</v>
      </c>
      <c r="E14" s="1">
        <v>0.21419756467949413</v>
      </c>
      <c r="F14" s="1">
        <v>0.95674194228986287</v>
      </c>
      <c r="G14" s="1">
        <v>0.30992191210630227</v>
      </c>
      <c r="H14" s="1">
        <v>-0.25743733470783337</v>
      </c>
      <c r="I14" s="1">
        <v>-9.2100636089475357E-2</v>
      </c>
      <c r="J14" s="1">
        <v>0.16210151855076266</v>
      </c>
      <c r="K14" s="1">
        <v>6.7293534872705438E-2</v>
      </c>
      <c r="L14" s="1">
        <v>-0.32744457910236463</v>
      </c>
      <c r="M14" s="1">
        <v>1</v>
      </c>
      <c r="N14" s="1">
        <v>-0.23746853105559068</v>
      </c>
    </row>
    <row r="15" spans="1:14">
      <c r="B15" s="1">
        <v>-0.33355342787351289</v>
      </c>
      <c r="C15" s="1">
        <v>-8.4011436183590124E-2</v>
      </c>
      <c r="D15" s="1">
        <v>6.366190197483193E-2</v>
      </c>
      <c r="E15" s="1">
        <v>-5.6715889115574958E-2</v>
      </c>
      <c r="F15" s="1">
        <v>-0.21384528018185966</v>
      </c>
      <c r="G15" s="1">
        <v>-0.54055265982890677</v>
      </c>
      <c r="H15" s="1">
        <v>0.9548269787218252</v>
      </c>
      <c r="I15" s="1">
        <v>-2.9057673077990176E-2</v>
      </c>
      <c r="J15" s="1">
        <v>0.28362703391513344</v>
      </c>
      <c r="K15" s="1">
        <v>-0.25878904047902407</v>
      </c>
      <c r="L15" s="1">
        <v>0.55095148417006379</v>
      </c>
      <c r="M15" s="1">
        <v>-0.23746853105559068</v>
      </c>
      <c r="N15" s="1">
        <v>1</v>
      </c>
    </row>
    <row r="17" spans="1:3">
      <c r="C17" s="2"/>
    </row>
    <row r="18" spans="1:3">
      <c r="A18" s="2" t="s">
        <v>200</v>
      </c>
      <c r="B18" s="1" t="str">
        <f>_xlfn.CONCAT("([[",B3,", ",C3,", ",D3,", ",E3,", ",F3,", ",G3,", ",H3,", ",I3,", ",J3,", ",K3,", ",L3,", ",M3,", ",N3,"],")</f>
        <v>([[1, -0.447865406790469, 0.075315172703734, 0.246933902019146, 0.520773983497202, 0.461198266297033, -0.330254917115046, 0.0491694951878376, -0.29929996650846, -0.395468373849776, -0.493557898707646, 0.557015592954299, -0.333553427873513],</v>
      </c>
    </row>
    <row r="19" spans="1:3">
      <c r="B19" s="1" t="str">
        <f t="shared" ref="B19:B29" si="0">_xlfn.CONCAT("[",B4,", ",C4,", ",D4,", ",E4,", ",F4,", ",G4,", ",H4,", ",I4,", ",J4,", ",K4,", ",L4,", ",M4,", ",N4,"],")</f>
        <v>[-0.447865406790469, 1, 0.158376564635034, -0.149602814210307, -0.31212013625546, -0.199913380125362, -0.0656361392812864, 0.058054127380384, 0.0929639505681241, 0.332519047471874, 0.186430790970379, -0.252921047773358, -0.0840114361835901],</v>
      </c>
    </row>
    <row r="20" spans="1:3">
      <c r="B20" s="1" t="str">
        <f t="shared" si="0"/>
        <v>[0.075315172703734, 0.158376564635034, 1, -0.291006485110728, 0.00248879813505267, 0.164103302490194, 0.142704871454751, 0.165929090543629, -0.10467630011335, 0.0860964038017474, -0.151112933701994, -0.0506569140835627, 0.0636619019748319],</v>
      </c>
    </row>
    <row r="21" spans="1:3">
      <c r="B21" s="1" t="str">
        <f t="shared" si="0"/>
        <v>[0.246933902019146, -0.149602814210307, -0.291006485110728, 1, 0.188416647314579, 0.257150949732321, -0.0366120335273854, -0.0148449963438809, -0.0193900389940701, -0.0164382325368916, -0.251615769593213, 0.214197564679494, -0.056715889115575],</v>
      </c>
    </row>
    <row r="22" spans="1:3">
      <c r="B22" s="1" t="str">
        <f t="shared" si="0"/>
        <v>[0.520773983497202, -0.31212013625546, 0.00248879813505267, 0.188416647314579, 1, 0.28115796641289, -0.237267025513048, -0.0374414047810278, 0.124841716165372, 0.032050242861983, -0.29644651562131, 0.956741942289863, -0.21384528018186],</v>
      </c>
    </row>
    <row r="23" spans="1:3">
      <c r="B23" s="1" t="str">
        <f t="shared" si="0"/>
        <v>[0.461198266297033, -0.199913380125362, 0.164103302490194, 0.257150949732321, 0.28115796641289, 1, -0.440924750229754, 0.113795018653236, -0.385711114150784, 0.290935380270078, -0.995022867897055, 0.309921912106302, -0.540552659828907],</v>
      </c>
    </row>
    <row r="24" spans="1:3">
      <c r="B24" s="1" t="str">
        <f t="shared" si="0"/>
        <v>[-0.330254917115046, -0.0656361392812864, 0.142704871454751, -0.0366120335273854, -0.237267025513048, -0.440924750229754, 1, 0.028890789262723, 0.150307443780654, -0.146571258627231, 0.453047501124313, -0.257437334707833, 0.954826978721825],</v>
      </c>
    </row>
    <row r="25" spans="1:3">
      <c r="B25" s="1" t="str">
        <f t="shared" si="0"/>
        <v>[0.0491694951878376, 0.058054127380384, 0.165929090543629, -0.0148449963438809, -0.0374414047810278, 0.113795018653236, 0.028890789262723, 1, -0.130397304040977, -0.132457897778713, -0.137912187050563, -0.0921006360894754, -0.0290576730779902],</v>
      </c>
    </row>
    <row r="26" spans="1:3">
      <c r="B26" s="1" t="str">
        <f t="shared" si="0"/>
        <v>[-0.29929996650846, 0.0929639505681241, -0.10467630011335, -0.0193900389940701, 0.124841716165372, -0.385711114150784, 0.150307443780654, -0.130397304040977, 1, -0.0550411750453923, 0.3805916686618, 0.162101518550763, 0.283627033915133],</v>
      </c>
    </row>
    <row r="27" spans="1:3">
      <c r="B27" s="1" t="str">
        <f t="shared" si="0"/>
        <v>[-0.395468373849776, 0.332519047471874, 0.0860964038017474, -0.0164382325368916, 0.032050242861983, 0.290935380270078, -0.146571258627231, -0.132457897778713, -0.0550411750453923, 1, -0.262079933476219, 0.0672935348727054, -0.258789040479024],</v>
      </c>
    </row>
    <row r="28" spans="1:3">
      <c r="B28" s="1" t="str">
        <f t="shared" si="0"/>
        <v>[-0.493557898707646, 0.186430790970379, -0.151112933701994, -0.251615769593213, -0.29644651562131, -0.995022867897055, 0.453047501124313, -0.137912187050563, 0.3805916686618, -0.262079933476219, 1, -0.327444579102365, 0.550951484170064],</v>
      </c>
    </row>
    <row r="29" spans="1:3">
      <c r="B29" s="1" t="str">
        <f t="shared" si="0"/>
        <v>[0.557015592954299, -0.252921047773358, -0.0506569140835627, 0.214197564679494, 0.956741942289863, 0.309921912106302, -0.257437334707833, -0.0921006360894754, 0.162101518550763, 0.0672935348727054, -0.327444579102365, 1, -0.237468531055591],</v>
      </c>
    </row>
    <row r="30" spans="1:3">
      <c r="B30" s="1" t="str">
        <f>_xlfn.CONCAT("[",B15,", ",C15,", ",D15,", ",E15,", ",F15,", ",G15,", ",H15,", ",I15,", ",J15,", ",K15,", ",L15,", ",M15,", ",N15,"]]),")</f>
        <v>[-0.333553427873513, -0.0840114361835901, 0.0636619019748319, -0.056715889115575, -0.21384528018186, -0.540552659828907, 0.954826978721825, -0.0290576730779902, 0.283627033915133, -0.258789040479024, 0.550951484170064, -0.237468531055591, 1]]),</v>
      </c>
    </row>
    <row r="32" spans="1:3">
      <c r="A32" s="1" t="s">
        <v>1</v>
      </c>
      <c r="B32" s="1" t="str">
        <f>_xlfn.CONCAT(B18,B19,B20,B21,B22,B23,B24,B25,B26,B27,B28,B29,B30)</f>
        <v>([[1, -0.447865406790469, 0.075315172703734, 0.246933902019146, 0.520773983497202, 0.461198266297033, -0.330254917115046, 0.0491694951878376, -0.29929996650846, -0.395468373849776, -0.493557898707646, 0.557015592954299, -0.333553427873513],[-0.447865406790469, 1, 0.158376564635034, -0.149602814210307, -0.31212013625546, -0.199913380125362, -0.0656361392812864, 0.058054127380384, 0.0929639505681241, 0.332519047471874, 0.186430790970379, -0.252921047773358, -0.0840114361835901],[0.075315172703734, 0.158376564635034, 1, -0.291006485110728, 0.00248879813505267, 0.164103302490194, 0.142704871454751, 0.165929090543629, -0.10467630011335, 0.0860964038017474, -0.151112933701994, -0.0506569140835627, 0.0636619019748319],[0.246933902019146, -0.149602814210307, -0.291006485110728, 1, 0.188416647314579, 0.257150949732321, -0.0366120335273854, -0.0148449963438809, -0.0193900389940701, -0.0164382325368916, -0.251615769593213, 0.214197564679494, -0.056715889115575],[0.520773983497202, -0.31212013625546, 0.00248879813505267, 0.188416647314579, 1, 0.28115796641289, -0.237267025513048, -0.0374414047810278, 0.124841716165372, 0.032050242861983, -0.29644651562131, 0.956741942289863, -0.21384528018186],[0.461198266297033, -0.199913380125362, 0.164103302490194, 0.257150949732321, 0.28115796641289, 1, -0.440924750229754, 0.113795018653236, -0.385711114150784, 0.290935380270078, -0.995022867897055, 0.309921912106302, -0.540552659828907],[-0.330254917115046, -0.0656361392812864, 0.142704871454751, -0.0366120335273854, -0.237267025513048, -0.440924750229754, 1, 0.028890789262723, 0.150307443780654, -0.146571258627231, 0.453047501124313, -0.257437334707833, 0.954826978721825],[0.0491694951878376, 0.058054127380384, 0.165929090543629, -0.0148449963438809, -0.0374414047810278, 0.113795018653236, 0.028890789262723, 1, -0.130397304040977, -0.132457897778713, -0.137912187050563, -0.0921006360894754, -0.0290576730779902],[-0.29929996650846, 0.0929639505681241, -0.10467630011335, -0.0193900389940701, 0.124841716165372, -0.385711114150784, 0.150307443780654, -0.130397304040977, 1, -0.0550411750453923, 0.3805916686618, 0.162101518550763, 0.283627033915133],[-0.395468373849776, 0.332519047471874, 0.0860964038017474, -0.0164382325368916, 0.032050242861983, 0.290935380270078, -0.146571258627231, -0.132457897778713, -0.0550411750453923, 1, -0.262079933476219, 0.0672935348727054, -0.258789040479024],[-0.493557898707646, 0.186430790970379, -0.151112933701994, -0.251615769593213, -0.29644651562131, -0.995022867897055, 0.453047501124313, -0.137912187050563, 0.3805916686618, -0.262079933476219, 1, -0.327444579102365, 0.550951484170064],[0.557015592954299, -0.252921047773358, -0.0506569140835627, 0.214197564679494, 0.956741942289863, 0.309921912106302, -0.257437334707833, -0.0921006360894754, 0.162101518550763, 0.0672935348727054, -0.327444579102365, 1, -0.237468531055591],[-0.333553427873513, -0.0840114361835901, 0.0636619019748319, -0.056715889115575, -0.21384528018186, -0.540552659828907, 0.954826978721825, -0.0290576730779902, 0.283627033915133, -0.258789040479024, 0.550951484170064, -0.237468531055591, 1]]),</v>
      </c>
    </row>
    <row r="33" spans="1:2">
      <c r="B33" s="1" t="s">
        <v>0</v>
      </c>
    </row>
    <row r="35" spans="1:2">
      <c r="A35" s="1" t="s">
        <v>2</v>
      </c>
    </row>
    <row r="36" spans="1:2">
      <c r="A36" s="1" t="s">
        <v>3</v>
      </c>
      <c r="B36" s="3" t="s">
        <v>6</v>
      </c>
    </row>
    <row r="38" spans="1:2">
      <c r="A38" s="1" t="s">
        <v>4</v>
      </c>
      <c r="B38" s="4" t="s">
        <v>7</v>
      </c>
    </row>
    <row r="39" spans="1:2">
      <c r="B39" s="4" t="s">
        <v>8</v>
      </c>
    </row>
    <row r="40" spans="1:2">
      <c r="B40" s="4" t="s">
        <v>9</v>
      </c>
    </row>
    <row r="41" spans="1:2">
      <c r="B41" s="4" t="s">
        <v>10</v>
      </c>
    </row>
    <row r="42" spans="1:2">
      <c r="B42" s="4" t="s">
        <v>11</v>
      </c>
    </row>
    <row r="43" spans="1:2">
      <c r="B43" s="4" t="s">
        <v>12</v>
      </c>
    </row>
    <row r="44" spans="1:2">
      <c r="B44" s="4" t="s">
        <v>13</v>
      </c>
    </row>
    <row r="45" spans="1:2">
      <c r="B45" s="4" t="s">
        <v>14</v>
      </c>
    </row>
    <row r="46" spans="1:2">
      <c r="B46" s="4" t="s">
        <v>15</v>
      </c>
    </row>
    <row r="47" spans="1:2">
      <c r="B47" s="4" t="s">
        <v>16</v>
      </c>
    </row>
    <row r="48" spans="1:2">
      <c r="B48" s="4" t="s">
        <v>17</v>
      </c>
    </row>
    <row r="49" spans="1:14">
      <c r="B49" s="4" t="s">
        <v>18</v>
      </c>
    </row>
    <row r="50" spans="1:14">
      <c r="B50" s="4" t="s">
        <v>19</v>
      </c>
    </row>
    <row r="52" spans="1:14" s="3" customFormat="1">
      <c r="A52" s="1" t="s">
        <v>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>
      <c r="A53" s="3" t="s">
        <v>22</v>
      </c>
      <c r="B53" s="5">
        <v>4.0630141699999998</v>
      </c>
      <c r="C53" s="5">
        <v>2.1703568999999998</v>
      </c>
      <c r="D53" s="5">
        <v>1.6008610400000001</v>
      </c>
      <c r="E53" s="5">
        <v>1.3174735399999999</v>
      </c>
      <c r="F53" s="5">
        <v>1.1341706499999999</v>
      </c>
      <c r="G53" s="5">
        <v>0.93353542499999997</v>
      </c>
      <c r="H53" s="5">
        <v>0.64358989499999997</v>
      </c>
      <c r="I53" s="5">
        <v>0.588688404</v>
      </c>
      <c r="J53" s="5">
        <v>0.34524021300000002</v>
      </c>
      <c r="K53" s="5">
        <v>0.14942849699999999</v>
      </c>
      <c r="L53" s="5">
        <v>2.7485232899999998E-3</v>
      </c>
      <c r="M53" s="5">
        <v>2.8325956499999999E-2</v>
      </c>
      <c r="N53" s="5">
        <v>2.25667874E-2</v>
      </c>
    </row>
    <row r="54" spans="1:14">
      <c r="A54" s="3" t="s">
        <v>23</v>
      </c>
      <c r="B54" s="5">
        <v>4.06301570844031</v>
      </c>
      <c r="C54" s="5">
        <v>2.1702855043291098</v>
      </c>
      <c r="D54" s="5">
        <v>1.6008862070974099</v>
      </c>
      <c r="E54" s="5">
        <v>1.3174486883505201</v>
      </c>
      <c r="F54" s="5">
        <v>1.1342010930034301</v>
      </c>
      <c r="G54" s="5">
        <v>0.93359728186612301</v>
      </c>
      <c r="H54" s="5">
        <v>0.643530887107711</v>
      </c>
      <c r="I54" s="5">
        <v>0.58867921437633997</v>
      </c>
      <c r="J54" s="5">
        <v>0.34524758134744299</v>
      </c>
      <c r="K54" s="5">
        <v>0.14938043525203901</v>
      </c>
      <c r="L54" s="5">
        <v>2.8428808283652799E-2</v>
      </c>
      <c r="M54" s="5">
        <v>2.2529847688458102E-2</v>
      </c>
      <c r="N54" s="5">
        <v>2.7687428574548699E-3</v>
      </c>
    </row>
    <row r="56" spans="1:14">
      <c r="A56" s="1" t="s">
        <v>20</v>
      </c>
      <c r="B56" s="1">
        <v>-0.35919553999999998</v>
      </c>
      <c r="C56" s="1">
        <v>0.26977001</v>
      </c>
      <c r="D56" s="1">
        <v>0.26668322999999999</v>
      </c>
      <c r="E56" s="1">
        <v>-4.495466E-2</v>
      </c>
      <c r="F56" s="1">
        <v>-0.21133916</v>
      </c>
      <c r="G56" s="1">
        <v>-7.9220570000000004E-2</v>
      </c>
      <c r="H56" s="1">
        <v>-0.29917891000000002</v>
      </c>
      <c r="I56" s="1">
        <v>6.0952840000000001E-2</v>
      </c>
      <c r="J56" s="1">
        <v>-0.14435735999999999</v>
      </c>
      <c r="K56" s="1">
        <v>-0.71614456999999998</v>
      </c>
      <c r="L56" s="1">
        <v>5.5514729999999998E-2</v>
      </c>
      <c r="M56" s="1">
        <v>0.17420142999999999</v>
      </c>
      <c r="N56" s="1">
        <v>-0.11733846000000001</v>
      </c>
    </row>
    <row r="57" spans="1:14">
      <c r="B57" s="1">
        <v>0.15036911</v>
      </c>
      <c r="C57" s="1">
        <v>-0.39149167000000001</v>
      </c>
      <c r="D57" s="1">
        <v>-0.28535994999999997</v>
      </c>
      <c r="E57" s="1">
        <v>0.16534819000000001</v>
      </c>
      <c r="F57" s="1">
        <v>-8.8419479999999995E-2</v>
      </c>
      <c r="G57" s="1">
        <v>0.31677810000000001</v>
      </c>
      <c r="H57" s="1">
        <v>-0.53518394999999996</v>
      </c>
      <c r="I57" s="1">
        <v>0.24329951999999999</v>
      </c>
      <c r="J57" s="1">
        <v>-0.50229414999999999</v>
      </c>
      <c r="K57" s="1">
        <v>2.4455060000000001E-2</v>
      </c>
      <c r="L57" s="1">
        <v>3.8108030000000001E-2</v>
      </c>
      <c r="M57" s="1">
        <v>5.9953529999999998E-2</v>
      </c>
      <c r="N57" s="1">
        <v>-6.0216949999999998E-2</v>
      </c>
    </row>
    <row r="58" spans="1:14">
      <c r="B58" s="1">
        <v>-1.0413540000000001E-2</v>
      </c>
      <c r="C58" s="1">
        <v>-0.1665046</v>
      </c>
      <c r="D58" s="1">
        <v>0.27645335999999998</v>
      </c>
      <c r="E58" s="1">
        <v>0.66447553999999998</v>
      </c>
      <c r="F58" s="1">
        <v>-0.12695454</v>
      </c>
      <c r="G58" s="1">
        <v>-0.14129214000000001</v>
      </c>
      <c r="H58" s="1">
        <v>-0.40449784999999999</v>
      </c>
      <c r="I58" s="1">
        <v>-0.20023800999999999</v>
      </c>
      <c r="J58" s="1">
        <v>0.44380033000000002</v>
      </c>
      <c r="K58" s="1">
        <v>9.458105E-2</v>
      </c>
      <c r="L58" s="1">
        <v>-3.1580499999999997E-2</v>
      </c>
      <c r="M58" s="1">
        <v>-3.969789E-2</v>
      </c>
      <c r="N58" s="1">
        <v>7.7079999999999996E-2</v>
      </c>
    </row>
    <row r="59" spans="1:14">
      <c r="B59" s="1">
        <v>-0.15749115</v>
      </c>
      <c r="C59" s="1">
        <v>0.17505351</v>
      </c>
      <c r="D59" s="1">
        <v>-1.605055E-2</v>
      </c>
      <c r="E59" s="1">
        <v>-0.31853774000000001</v>
      </c>
      <c r="F59" s="1">
        <v>0.56718469000000005</v>
      </c>
      <c r="G59" s="1">
        <v>0.38227784999999997</v>
      </c>
      <c r="H59" s="1">
        <v>-0.48161931000000002</v>
      </c>
      <c r="I59" s="1">
        <v>-4.31898E-3</v>
      </c>
      <c r="J59" s="1">
        <v>0.37031088000000001</v>
      </c>
      <c r="K59" s="1">
        <v>6.7309949999999993E-2</v>
      </c>
      <c r="L59" s="1">
        <v>-1.9655189999999999E-2</v>
      </c>
      <c r="M59" s="1">
        <v>-6.8209799999999999E-3</v>
      </c>
      <c r="N59" s="1">
        <v>3.0407739999999999E-2</v>
      </c>
    </row>
    <row r="60" spans="1:14">
      <c r="B60" s="1">
        <v>-0.30951113000000002</v>
      </c>
      <c r="C60" s="1">
        <v>0.38020706999999998</v>
      </c>
      <c r="D60" s="1">
        <v>-0.23372086</v>
      </c>
      <c r="E60" s="1">
        <v>0.30841488</v>
      </c>
      <c r="F60" s="1">
        <v>-5.9472810000000001E-2</v>
      </c>
      <c r="G60" s="1">
        <v>6.4944829999999995E-2</v>
      </c>
      <c r="H60" s="1">
        <v>8.4002950000000007E-2</v>
      </c>
      <c r="I60" s="1">
        <v>0.26454413999999998</v>
      </c>
      <c r="J60" s="1">
        <v>6.1810289999999997E-2</v>
      </c>
      <c r="K60" s="1">
        <v>0.36000093999999999</v>
      </c>
      <c r="L60" s="1">
        <v>4.3414340000000003E-2</v>
      </c>
      <c r="M60" s="1">
        <v>0.43551505000000001</v>
      </c>
      <c r="N60" s="1">
        <v>-0.44735439999999999</v>
      </c>
    </row>
    <row r="61" spans="1:14">
      <c r="B61" s="1">
        <v>-0.41586159</v>
      </c>
      <c r="C61" s="1">
        <v>-0.19485696</v>
      </c>
      <c r="D61" s="1">
        <v>0.15262534999999999</v>
      </c>
      <c r="E61" s="1">
        <v>8.3100140000000003E-2</v>
      </c>
      <c r="F61" s="1">
        <v>0.27618752000000002</v>
      </c>
      <c r="G61" s="1">
        <v>-4.0408140000000002E-2</v>
      </c>
      <c r="H61" s="1">
        <v>8.4722950000000005E-2</v>
      </c>
      <c r="I61" s="1">
        <v>-0.27534753000000001</v>
      </c>
      <c r="J61" s="1">
        <v>-0.27642165000000002</v>
      </c>
      <c r="K61" s="1">
        <v>0.15126476999999999</v>
      </c>
      <c r="L61" s="1">
        <v>0.70319545000000006</v>
      </c>
      <c r="M61" s="1">
        <v>2.9500899999999998E-3</v>
      </c>
      <c r="N61" s="1">
        <v>6.4812540000000002E-2</v>
      </c>
    </row>
    <row r="62" spans="1:14">
      <c r="B62" s="1">
        <v>0.33338369000000001</v>
      </c>
      <c r="C62" s="1">
        <v>0.2307843</v>
      </c>
      <c r="D62" s="1">
        <v>0.26418377999999998</v>
      </c>
      <c r="E62" s="1">
        <v>0.26657262999999998</v>
      </c>
      <c r="F62" s="1">
        <v>0.40631103000000002</v>
      </c>
      <c r="G62" s="1">
        <v>-4.3806570000000003E-2</v>
      </c>
      <c r="H62" s="1">
        <v>3.238564E-2</v>
      </c>
      <c r="I62" s="1">
        <v>0.13137267999999999</v>
      </c>
      <c r="J62" s="1">
        <v>-0.20676048999999999</v>
      </c>
      <c r="K62" s="1">
        <v>-9.7254999999999994E-2</v>
      </c>
      <c r="L62" s="1">
        <v>4.5700070000000002E-2</v>
      </c>
      <c r="M62" s="1">
        <v>-0.44826817000000002</v>
      </c>
      <c r="N62" s="1">
        <v>-0.50416596000000002</v>
      </c>
    </row>
    <row r="63" spans="1:14">
      <c r="B63" s="1">
        <v>-2.8124679999999999E-2</v>
      </c>
      <c r="C63" s="1">
        <v>-0.10478899</v>
      </c>
      <c r="D63" s="1">
        <v>0.37555738999999999</v>
      </c>
      <c r="E63" s="1">
        <v>0.15654720999999999</v>
      </c>
      <c r="F63" s="1">
        <v>-0.15521768999999999</v>
      </c>
      <c r="G63" s="1">
        <v>0.79589695000000005</v>
      </c>
      <c r="H63" s="1">
        <v>0.36360991999999998</v>
      </c>
      <c r="I63" s="1">
        <v>0.1036729</v>
      </c>
      <c r="J63" s="1">
        <v>9.4853240000000005E-2</v>
      </c>
      <c r="K63" s="1">
        <v>-0.10441213000000001</v>
      </c>
      <c r="L63" s="1">
        <v>1.3350320000000001E-2</v>
      </c>
      <c r="M63" s="1">
        <v>7.1514300000000003E-3</v>
      </c>
      <c r="N63" s="1">
        <v>4.521886E-2</v>
      </c>
    </row>
    <row r="64" spans="1:14">
      <c r="B64" s="1">
        <v>0.16833345</v>
      </c>
      <c r="C64" s="1">
        <v>0.26034613000000001</v>
      </c>
      <c r="D64" s="1">
        <v>-0.42922842999999999</v>
      </c>
      <c r="E64" s="1">
        <v>0.16513548</v>
      </c>
      <c r="F64" s="1">
        <v>-5.310455E-2</v>
      </c>
      <c r="G64" s="1">
        <v>0.27075058000000002</v>
      </c>
      <c r="H64" s="1">
        <v>2.407304E-2</v>
      </c>
      <c r="I64" s="1">
        <v>-0.74522792999999998</v>
      </c>
      <c r="J64" s="1">
        <v>-5.4840319999999998E-2</v>
      </c>
      <c r="K64" s="1">
        <v>-0.21071197999999999</v>
      </c>
      <c r="L64" s="1">
        <v>2.100631E-2</v>
      </c>
      <c r="M64" s="1">
        <v>1.125845E-2</v>
      </c>
      <c r="N64" s="1">
        <v>-0.11104868</v>
      </c>
    </row>
    <row r="65" spans="1:33">
      <c r="B65" s="1">
        <v>-7.0722419999999994E-2</v>
      </c>
      <c r="C65" s="1">
        <v>-0.37149633999999998</v>
      </c>
      <c r="D65" s="1">
        <v>-0.39103371999999997</v>
      </c>
      <c r="E65" s="1">
        <v>0.26850386999999998</v>
      </c>
      <c r="F65" s="1">
        <v>0.42038449999999999</v>
      </c>
      <c r="G65" s="1">
        <v>-8.6055080000000006E-2</v>
      </c>
      <c r="H65" s="1">
        <v>0.27261616999999999</v>
      </c>
      <c r="I65" s="1">
        <v>0.20936856000000001</v>
      </c>
      <c r="J65" s="1">
        <v>0.25348256000000002</v>
      </c>
      <c r="K65" s="1">
        <v>-0.49520539000000002</v>
      </c>
      <c r="L65" s="1">
        <v>-7.2741999999999998E-3</v>
      </c>
      <c r="M65" s="1">
        <v>0.14198036</v>
      </c>
      <c r="N65" s="1">
        <v>3.2566700000000001E-3</v>
      </c>
    </row>
    <row r="66" spans="1:33">
      <c r="B66" s="1">
        <v>0.42189455999999997</v>
      </c>
      <c r="C66" s="1">
        <v>0.18537540999999999</v>
      </c>
      <c r="D66" s="1">
        <v>-0.15613738999999999</v>
      </c>
      <c r="E66" s="1">
        <v>-7.9287990000000003E-2</v>
      </c>
      <c r="F66" s="1">
        <v>-0.24487452000000001</v>
      </c>
      <c r="G66" s="1">
        <v>1.0805489999999999E-2</v>
      </c>
      <c r="H66" s="1">
        <v>-7.3911690000000002E-2</v>
      </c>
      <c r="I66" s="1">
        <v>0.26391249</v>
      </c>
      <c r="J66" s="1">
        <v>0.33695734999999999</v>
      </c>
      <c r="K66" s="1">
        <v>-0.10285079</v>
      </c>
      <c r="L66" s="1">
        <v>0.70097624999999997</v>
      </c>
      <c r="M66" s="1">
        <v>-2.6663679999999999E-2</v>
      </c>
      <c r="N66" s="1">
        <v>7.4734519999999999E-2</v>
      </c>
    </row>
    <row r="67" spans="1:33">
      <c r="B67" s="1">
        <v>-0.32009747</v>
      </c>
      <c r="C67" s="1">
        <v>0.37040388000000002</v>
      </c>
      <c r="D67" s="1">
        <v>-0.28094116000000002</v>
      </c>
      <c r="E67" s="1">
        <v>0.28185292000000001</v>
      </c>
      <c r="F67" s="1">
        <v>-3.2284109999999998E-2</v>
      </c>
      <c r="G67" s="1">
        <v>6.1660899999999998E-2</v>
      </c>
      <c r="H67" s="1">
        <v>1.881101E-2</v>
      </c>
      <c r="I67" s="1">
        <v>0.23073705999999999</v>
      </c>
      <c r="J67" s="1">
        <v>-0.12196853000000001</v>
      </c>
      <c r="K67" s="1">
        <v>3.4408500000000001E-3</v>
      </c>
      <c r="L67" s="1">
        <v>-4.736435E-2</v>
      </c>
      <c r="M67" s="1">
        <v>-0.52461917999999996</v>
      </c>
      <c r="N67" s="1">
        <v>0.50117358999999995</v>
      </c>
    </row>
    <row r="68" spans="1:33">
      <c r="B68" s="1">
        <v>0.35914742999999999</v>
      </c>
      <c r="C68" s="1">
        <v>0.30243910000000002</v>
      </c>
      <c r="D68" s="1">
        <v>0.20385797999999999</v>
      </c>
      <c r="E68" s="1">
        <v>0.21203760999999999</v>
      </c>
      <c r="F68" s="1">
        <v>0.31647285000000003</v>
      </c>
      <c r="G68" s="1">
        <v>-3.7737350000000003E-2</v>
      </c>
      <c r="H68" s="1">
        <v>1.6825630000000001E-2</v>
      </c>
      <c r="I68" s="1">
        <v>3.2866640000000003E-2</v>
      </c>
      <c r="J68" s="1">
        <v>-0.25518373</v>
      </c>
      <c r="K68" s="1">
        <v>-1.58724E-3</v>
      </c>
      <c r="L68" s="1">
        <v>-3.6627819999999998E-2</v>
      </c>
      <c r="M68" s="1">
        <v>0.52681876999999999</v>
      </c>
      <c r="N68" s="1">
        <v>0.49606686</v>
      </c>
    </row>
    <row r="70" spans="1:33">
      <c r="A70" s="1" t="s">
        <v>21</v>
      </c>
      <c r="B70" s="1">
        <v>-0.359208582155712</v>
      </c>
      <c r="C70" s="1">
        <v>0.26978510520323901</v>
      </c>
      <c r="D70" s="1">
        <v>-0.26669000136636001</v>
      </c>
      <c r="E70" s="1">
        <v>-4.4912913380348203E-2</v>
      </c>
      <c r="F70" s="1">
        <v>0.21134247720560301</v>
      </c>
      <c r="G70" s="1">
        <v>7.9176214512215404E-2</v>
      </c>
      <c r="H70" s="1">
        <v>-0.29913698937537803</v>
      </c>
      <c r="I70" s="1">
        <v>6.0969270940135101E-2</v>
      </c>
      <c r="J70" s="1">
        <v>-0.14429725379288</v>
      </c>
      <c r="K70" s="1">
        <v>-0.71612969440655905</v>
      </c>
      <c r="L70" s="1">
        <v>0.17444552672904201</v>
      </c>
      <c r="M70" s="1">
        <v>0.117091767135969</v>
      </c>
      <c r="N70" s="1">
        <v>5.5718923911387601E-2</v>
      </c>
      <c r="P70" s="7">
        <f>(B56-B70)/B70</f>
        <v>-3.630802926185072E-5</v>
      </c>
      <c r="Q70" s="7">
        <f t="shared" ref="Q70:AB82" si="1">(C56-C70)/C70</f>
        <v>-5.5952693265367411E-5</v>
      </c>
      <c r="R70" s="7">
        <f t="shared" si="1"/>
        <v>-1.99997460959794</v>
      </c>
      <c r="S70" s="7">
        <f t="shared" si="1"/>
        <v>9.2950148431172029E-4</v>
      </c>
      <c r="T70" s="7">
        <f t="shared" si="1"/>
        <v>-1.9999843041226408</v>
      </c>
      <c r="U70" s="7">
        <f t="shared" si="1"/>
        <v>-2.0005602122816537</v>
      </c>
      <c r="V70" s="7">
        <f t="shared" si="1"/>
        <v>1.4013855227174507E-4</v>
      </c>
      <c r="W70" s="7">
        <f t="shared" si="1"/>
        <v>-2.6949543403976184E-4</v>
      </c>
      <c r="X70" s="7">
        <f t="shared" si="1"/>
        <v>4.1654435923130391E-4</v>
      </c>
      <c r="Y70" s="7">
        <f t="shared" si="1"/>
        <v>2.0772205868742657E-5</v>
      </c>
      <c r="Z70" s="7">
        <f>(L56-L70)/L70</f>
        <v>-0.68176466865654628</v>
      </c>
      <c r="AA70" s="7">
        <f t="shared" si="1"/>
        <v>0.48773422983457287</v>
      </c>
      <c r="AB70" s="7">
        <f t="shared" si="1"/>
        <v>-3.1058996075841097</v>
      </c>
      <c r="AC70" s="7"/>
      <c r="AD70" s="7"/>
      <c r="AE70" s="7"/>
      <c r="AF70" s="7"/>
      <c r="AG70" s="7"/>
    </row>
    <row r="71" spans="1:33">
      <c r="B71" s="1">
        <v>0.15036954478127301</v>
      </c>
      <c r="C71" s="1">
        <v>-0.39150525309481599</v>
      </c>
      <c r="D71" s="1">
        <v>0.28533434961640203</v>
      </c>
      <c r="E71" s="1">
        <v>0.16535408337225499</v>
      </c>
      <c r="F71" s="1">
        <v>8.8431099273439298E-2</v>
      </c>
      <c r="G71" s="1">
        <v>-0.31685005537146599</v>
      </c>
      <c r="H71" s="1">
        <v>-0.53509006729888597</v>
      </c>
      <c r="I71" s="1">
        <v>0.243449676799458</v>
      </c>
      <c r="J71" s="1">
        <v>-0.50227246463699704</v>
      </c>
      <c r="K71" s="1">
        <v>2.4403895811176801E-2</v>
      </c>
      <c r="L71" s="1">
        <v>6.0107462535506702E-2</v>
      </c>
      <c r="M71" s="1">
        <v>6.0131104328737701E-2</v>
      </c>
      <c r="N71" s="1">
        <v>3.8078800607546301E-2</v>
      </c>
      <c r="P71" s="7">
        <f t="shared" ref="P71:P82" si="2">(B57-B71)/B71</f>
        <v>-2.8914184294734641E-6</v>
      </c>
      <c r="Q71" s="7">
        <f t="shared" si="1"/>
        <v>-3.4694540388919095E-5</v>
      </c>
      <c r="R71" s="7">
        <f t="shared" si="1"/>
        <v>-2.0000897206509918</v>
      </c>
      <c r="S71" s="7">
        <f t="shared" si="1"/>
        <v>-3.5640923615512669E-5</v>
      </c>
      <c r="T71" s="7">
        <f t="shared" si="1"/>
        <v>-1.9998686064796798</v>
      </c>
      <c r="U71" s="7">
        <f t="shared" si="1"/>
        <v>-1.9997729040274852</v>
      </c>
      <c r="V71" s="7">
        <f t="shared" si="1"/>
        <v>1.7545214694024509E-4</v>
      </c>
      <c r="W71" s="7">
        <f t="shared" si="1"/>
        <v>-6.1678783653388886E-4</v>
      </c>
      <c r="X71" s="7">
        <f t="shared" si="1"/>
        <v>4.3174500952639339E-5</v>
      </c>
      <c r="Y71" s="7">
        <f t="shared" si="1"/>
        <v>2.0965582388598257E-3</v>
      </c>
      <c r="Z71" s="7">
        <f t="shared" si="1"/>
        <v>-0.36600168444161468</v>
      </c>
      <c r="AA71" s="7">
        <f t="shared" si="1"/>
        <v>-2.9531193667573746E-3</v>
      </c>
      <c r="AB71" s="7">
        <f t="shared" si="1"/>
        <v>-2.5813772765748944</v>
      </c>
      <c r="AC71" s="7"/>
      <c r="AD71" s="7"/>
      <c r="AE71" s="7"/>
      <c r="AF71" s="7"/>
      <c r="AG71" s="7"/>
    </row>
    <row r="72" spans="1:33">
      <c r="B72" s="1">
        <v>-1.04037733891667E-2</v>
      </c>
      <c r="C72" s="1">
        <v>-0.16652492656628001</v>
      </c>
      <c r="D72" s="1">
        <v>-0.276408462355269</v>
      </c>
      <c r="E72" s="1">
        <v>0.66451699568447298</v>
      </c>
      <c r="F72" s="1">
        <v>0.126935927011772</v>
      </c>
      <c r="G72" s="1">
        <v>0.14129355729850099</v>
      </c>
      <c r="H72" s="1">
        <v>-0.404514191230609</v>
      </c>
      <c r="I72" s="1">
        <v>-0.20007760262131399</v>
      </c>
      <c r="J72" s="1">
        <v>0.44382020601844402</v>
      </c>
      <c r="K72" s="1">
        <v>9.4570454988523997E-2</v>
      </c>
      <c r="L72" s="1">
        <v>-3.9894670183515703E-2</v>
      </c>
      <c r="M72" s="1">
        <v>-7.6982736794822607E-2</v>
      </c>
      <c r="N72" s="1">
        <v>-3.16146348662786E-2</v>
      </c>
      <c r="P72" s="7">
        <f t="shared" si="2"/>
        <v>9.3875659032231838E-4</v>
      </c>
      <c r="Q72" s="7">
        <f t="shared" si="1"/>
        <v>-1.2206320518579968E-4</v>
      </c>
      <c r="R72" s="7">
        <f t="shared" si="1"/>
        <v>-2.0001624322365115</v>
      </c>
      <c r="S72" s="7">
        <f t="shared" si="1"/>
        <v>-6.2384686535069304E-5</v>
      </c>
      <c r="T72" s="7">
        <f t="shared" si="1"/>
        <v>-2.0001466329404618</v>
      </c>
      <c r="U72" s="7">
        <f t="shared" si="1"/>
        <v>-1.9999899691215364</v>
      </c>
      <c r="V72" s="7">
        <f t="shared" si="1"/>
        <v>-4.0397175088700929E-5</v>
      </c>
      <c r="W72" s="7">
        <f t="shared" si="1"/>
        <v>8.0172581330656423E-4</v>
      </c>
      <c r="X72" s="7">
        <f t="shared" si="1"/>
        <v>-4.4783942178541411E-5</v>
      </c>
      <c r="Y72" s="7">
        <f t="shared" si="1"/>
        <v>1.1203299674606119E-4</v>
      </c>
      <c r="Z72" s="7">
        <f t="shared" si="1"/>
        <v>-0.20840303091291335</v>
      </c>
      <c r="AA72" s="7">
        <f t="shared" si="1"/>
        <v>-0.48432737451508945</v>
      </c>
      <c r="AB72" s="7">
        <f t="shared" si="1"/>
        <v>-3.4381113470399911</v>
      </c>
      <c r="AC72" s="7"/>
      <c r="AD72" s="7"/>
      <c r="AE72" s="7"/>
      <c r="AF72" s="7"/>
      <c r="AG72" s="7"/>
    </row>
    <row r="73" spans="1:33">
      <c r="B73" s="1">
        <v>-0.157489086634962</v>
      </c>
      <c r="C73" s="1">
        <v>0.175039160757334</v>
      </c>
      <c r="D73" s="1">
        <v>1.6042001835714501E-2</v>
      </c>
      <c r="E73" s="1">
        <v>-0.318478772874498</v>
      </c>
      <c r="F73" s="1">
        <v>-0.56725616436107895</v>
      </c>
      <c r="G73" s="1">
        <v>-0.38225422855177599</v>
      </c>
      <c r="H73" s="1">
        <v>-0.48159663150264298</v>
      </c>
      <c r="I73" s="1">
        <v>-4.1362623635561096E-3</v>
      </c>
      <c r="J73" s="1">
        <v>0.37032082347192202</v>
      </c>
      <c r="K73" s="1">
        <v>6.7289773294613095E-2</v>
      </c>
      <c r="L73" s="1">
        <v>-6.9106675894751602E-3</v>
      </c>
      <c r="M73" s="1">
        <v>-3.0328744094011598E-2</v>
      </c>
      <c r="N73" s="1">
        <v>-1.9725969520043799E-2</v>
      </c>
      <c r="P73" s="7">
        <f t="shared" si="2"/>
        <v>1.310163822829844E-5</v>
      </c>
      <c r="Q73" s="7">
        <f t="shared" si="1"/>
        <v>8.1977327838587811E-5</v>
      </c>
      <c r="R73" s="7">
        <f t="shared" si="1"/>
        <v>-2.000532861445413</v>
      </c>
      <c r="S73" s="7">
        <f t="shared" si="1"/>
        <v>1.8515245135428712E-4</v>
      </c>
      <c r="T73" s="7">
        <f t="shared" si="1"/>
        <v>-1.9998739998512673</v>
      </c>
      <c r="U73" s="7">
        <f t="shared" si="1"/>
        <v>-2.0000617951260171</v>
      </c>
      <c r="V73" s="7">
        <f t="shared" si="1"/>
        <v>4.7090232517372121E-5</v>
      </c>
      <c r="W73" s="7">
        <f t="shared" si="1"/>
        <v>4.4174576074715144E-2</v>
      </c>
      <c r="X73" s="7">
        <f t="shared" si="1"/>
        <v>-2.6850966221097867E-5</v>
      </c>
      <c r="Y73" s="7">
        <f t="shared" si="1"/>
        <v>2.9984802146024875E-4</v>
      </c>
      <c r="Z73" s="7">
        <f t="shared" si="1"/>
        <v>1.8441810788200188</v>
      </c>
      <c r="AA73" s="7">
        <f t="shared" si="1"/>
        <v>-0.77509850131424329</v>
      </c>
      <c r="AB73" s="7">
        <f t="shared" si="1"/>
        <v>-2.5415080089778259</v>
      </c>
      <c r="AC73" s="7"/>
      <c r="AD73" s="7"/>
      <c r="AE73" s="7"/>
      <c r="AF73" s="7"/>
      <c r="AG73" s="7"/>
    </row>
    <row r="74" spans="1:33">
      <c r="B74" s="1">
        <v>-0.30950620804573198</v>
      </c>
      <c r="C74" s="1">
        <v>0.38019711225971298</v>
      </c>
      <c r="D74" s="1">
        <v>0.23373645072235799</v>
      </c>
      <c r="E74" s="1">
        <v>0.30843265086569699</v>
      </c>
      <c r="F74" s="1">
        <v>5.9479427550837301E-2</v>
      </c>
      <c r="G74" s="1">
        <v>-6.49565174349261E-2</v>
      </c>
      <c r="H74" s="1">
        <v>8.4101078312395397E-2</v>
      </c>
      <c r="I74" s="1">
        <v>0.26452361465737101</v>
      </c>
      <c r="J74" s="1">
        <v>6.1803272291756597E-2</v>
      </c>
      <c r="K74" s="1">
        <v>0.36000429813927798</v>
      </c>
      <c r="L74" s="1">
        <v>0.43582405840723298</v>
      </c>
      <c r="M74" s="1">
        <v>0.44708071685984002</v>
      </c>
      <c r="N74" s="1">
        <v>4.2932884031472003E-2</v>
      </c>
      <c r="P74" s="7">
        <f t="shared" si="2"/>
        <v>1.5902602726848308E-5</v>
      </c>
      <c r="Q74" s="7">
        <f t="shared" si="1"/>
        <v>2.6190994002608588E-5</v>
      </c>
      <c r="R74" s="7">
        <f t="shared" si="1"/>
        <v>-1.9999332978561546</v>
      </c>
      <c r="S74" s="7">
        <f t="shared" si="1"/>
        <v>-5.7616681136410226E-5</v>
      </c>
      <c r="T74" s="7">
        <f t="shared" si="1"/>
        <v>-1.999888742190203</v>
      </c>
      <c r="U74" s="7">
        <f t="shared" si="1"/>
        <v>-1.9998200729443691</v>
      </c>
      <c r="V74" s="7">
        <f t="shared" si="1"/>
        <v>-1.1667901811067195E-3</v>
      </c>
      <c r="W74" s="7">
        <f t="shared" si="1"/>
        <v>7.7593611653764937E-5</v>
      </c>
      <c r="X74" s="7">
        <f t="shared" si="1"/>
        <v>1.1354913717627715E-4</v>
      </c>
      <c r="Y74" s="7">
        <f t="shared" si="1"/>
        <v>-9.3280532908740476E-6</v>
      </c>
      <c r="Z74" s="7">
        <f t="shared" si="1"/>
        <v>-0.90038562772632957</v>
      </c>
      <c r="AA74" s="7">
        <f t="shared" si="1"/>
        <v>-2.5869303737977696E-2</v>
      </c>
      <c r="AB74" s="7">
        <f t="shared" si="1"/>
        <v>-11.419854386489998</v>
      </c>
      <c r="AC74" s="7"/>
      <c r="AD74" s="7"/>
      <c r="AE74" s="7"/>
      <c r="AF74" s="7"/>
      <c r="AG74" s="7"/>
    </row>
    <row r="75" spans="1:33">
      <c r="B75" s="1">
        <v>-0.41586359070081502</v>
      </c>
      <c r="C75" s="1">
        <v>-0.19485035847362001</v>
      </c>
      <c r="D75" s="1">
        <v>-0.15259396117778801</v>
      </c>
      <c r="E75" s="1">
        <v>8.3114518414778099E-2</v>
      </c>
      <c r="F75" s="1">
        <v>-0.27618300837320697</v>
      </c>
      <c r="G75" s="1">
        <v>4.0405584203059897E-2</v>
      </c>
      <c r="H75" s="1">
        <v>8.4624173252891705E-2</v>
      </c>
      <c r="I75" s="1">
        <v>-0.27538290848031399</v>
      </c>
      <c r="J75" s="1">
        <v>-0.27637074526586197</v>
      </c>
      <c r="K75" s="1">
        <v>0.15159059961337401</v>
      </c>
      <c r="L75" s="1">
        <v>3.3178590229904401E-3</v>
      </c>
      <c r="M75" s="1">
        <v>-6.4745174312345194E-2</v>
      </c>
      <c r="N75" s="1">
        <v>0.70315557647437998</v>
      </c>
      <c r="P75" s="7">
        <f t="shared" si="2"/>
        <v>-4.8109545046911665E-6</v>
      </c>
      <c r="Q75" s="7">
        <f t="shared" si="1"/>
        <v>3.38799806769864E-5</v>
      </c>
      <c r="R75" s="7">
        <f t="shared" si="1"/>
        <v>-2.000205701601621</v>
      </c>
      <c r="S75" s="7">
        <f t="shared" si="1"/>
        <v>-1.7299522456884817E-4</v>
      </c>
      <c r="T75" s="7">
        <f t="shared" si="1"/>
        <v>-2.0000163356421514</v>
      </c>
      <c r="U75" s="7">
        <f t="shared" si="1"/>
        <v>-2.000063253557411</v>
      </c>
      <c r="V75" s="7">
        <f t="shared" si="1"/>
        <v>1.1672403204828394E-3</v>
      </c>
      <c r="W75" s="7">
        <f t="shared" si="1"/>
        <v>-1.2847013821307894E-4</v>
      </c>
      <c r="X75" s="7">
        <f t="shared" si="1"/>
        <v>1.8419002376346777E-4</v>
      </c>
      <c r="Y75" s="7">
        <f t="shared" si="1"/>
        <v>-2.1494051359717149E-3</v>
      </c>
      <c r="Z75" s="7">
        <f t="shared" si="1"/>
        <v>210.94253436548928</v>
      </c>
      <c r="AA75" s="7">
        <f t="shared" si="1"/>
        <v>-1.0455646313618387</v>
      </c>
      <c r="AB75" s="7">
        <f t="shared" si="1"/>
        <v>-0.90782617365424323</v>
      </c>
      <c r="AC75" s="7"/>
      <c r="AD75" s="7"/>
      <c r="AE75" s="7"/>
      <c r="AF75" s="7"/>
      <c r="AG75" s="7"/>
    </row>
    <row r="76" spans="1:33">
      <c r="B76" s="1">
        <v>0.33337986260629898</v>
      </c>
      <c r="C76" s="1">
        <v>0.23076655405697499</v>
      </c>
      <c r="D76" s="1">
        <v>-0.264140984704551</v>
      </c>
      <c r="E76" s="1">
        <v>0.26661436662107801</v>
      </c>
      <c r="F76" s="1">
        <v>-0.40631953273425098</v>
      </c>
      <c r="G76" s="1">
        <v>4.3781575569460801E-2</v>
      </c>
      <c r="H76" s="1">
        <v>3.2496402211090902E-2</v>
      </c>
      <c r="I76" s="1">
        <v>0.13129064918899799</v>
      </c>
      <c r="J76" s="1">
        <v>-0.20693296701157499</v>
      </c>
      <c r="K76" s="1">
        <v>-9.7429126958142195E-2</v>
      </c>
      <c r="L76" s="1">
        <v>-0.44778270747998</v>
      </c>
      <c r="M76" s="1">
        <v>0.504493888381225</v>
      </c>
      <c r="N76" s="1">
        <v>4.5915362764766002E-2</v>
      </c>
      <c r="P76" s="7">
        <f t="shared" si="2"/>
        <v>1.1480578554164026E-5</v>
      </c>
      <c r="Q76" s="7">
        <f t="shared" si="1"/>
        <v>7.6899978411184737E-5</v>
      </c>
      <c r="R76" s="7">
        <f t="shared" si="1"/>
        <v>-2.0001620168695022</v>
      </c>
      <c r="S76" s="7">
        <f t="shared" si="1"/>
        <v>-1.5654303107136896E-4</v>
      </c>
      <c r="T76" s="7">
        <f t="shared" si="1"/>
        <v>-1.9999790737742933</v>
      </c>
      <c r="U76" s="7">
        <f t="shared" si="1"/>
        <v>-2.0005708892431144</v>
      </c>
      <c r="V76" s="7">
        <f t="shared" si="1"/>
        <v>-3.4084453525473454E-3</v>
      </c>
      <c r="W76" s="7">
        <f t="shared" si="1"/>
        <v>6.2480314865312264E-4</v>
      </c>
      <c r="X76" s="7">
        <f t="shared" si="1"/>
        <v>-8.3349218863395277E-4</v>
      </c>
      <c r="Y76" s="7">
        <f t="shared" si="1"/>
        <v>-1.787216652541802E-3</v>
      </c>
      <c r="Z76" s="7">
        <f t="shared" si="1"/>
        <v>-1.1020585860878587</v>
      </c>
      <c r="AA76" s="7">
        <f t="shared" si="1"/>
        <v>-1.888550248722265</v>
      </c>
      <c r="AB76" s="7">
        <f t="shared" si="1"/>
        <v>-11.980332717459898</v>
      </c>
      <c r="AC76" s="7"/>
      <c r="AD76" s="7"/>
      <c r="AE76" s="7"/>
      <c r="AF76" s="7"/>
      <c r="AG76" s="7"/>
    </row>
    <row r="77" spans="1:33">
      <c r="B77" s="1">
        <v>-2.81348387706402E-2</v>
      </c>
      <c r="C77" s="1">
        <v>-0.10477586062127001</v>
      </c>
      <c r="D77" s="1">
        <v>-0.37553042489185101</v>
      </c>
      <c r="E77" s="1">
        <v>0.15655122343132</v>
      </c>
      <c r="F77" s="1">
        <v>0.15517184246829399</v>
      </c>
      <c r="G77" s="1">
        <v>-0.79588735378224995</v>
      </c>
      <c r="H77" s="1">
        <v>0.36371981962007499</v>
      </c>
      <c r="I77" s="1">
        <v>0.10348867355984399</v>
      </c>
      <c r="J77" s="1">
        <v>9.4893959043467396E-2</v>
      </c>
      <c r="K77" s="1">
        <v>-0.104394097551301</v>
      </c>
      <c r="L77" s="1">
        <v>7.1336192016985198E-3</v>
      </c>
      <c r="M77" s="1">
        <v>-4.5271724459360403E-2</v>
      </c>
      <c r="N77" s="1">
        <v>1.33664629217862E-2</v>
      </c>
      <c r="P77" s="7">
        <f t="shared" si="2"/>
        <v>-3.6107442175221303E-4</v>
      </c>
      <c r="Q77" s="7">
        <f t="shared" si="1"/>
        <v>1.2530919481015552E-4</v>
      </c>
      <c r="R77" s="7">
        <f t="shared" si="1"/>
        <v>-2.0000718053887558</v>
      </c>
      <c r="S77" s="7">
        <f t="shared" si="1"/>
        <v>-2.5636537562833951E-5</v>
      </c>
      <c r="T77" s="7">
        <f t="shared" si="1"/>
        <v>-2.0002954629588507</v>
      </c>
      <c r="U77" s="7">
        <f t="shared" si="1"/>
        <v>-2.0000120572562241</v>
      </c>
      <c r="V77" s="7">
        <f t="shared" si="1"/>
        <v>-3.0215460952832279E-4</v>
      </c>
      <c r="W77" s="7">
        <f t="shared" si="1"/>
        <v>1.7801604158108435E-3</v>
      </c>
      <c r="X77" s="7">
        <f t="shared" si="1"/>
        <v>-4.2910048097728846E-4</v>
      </c>
      <c r="Y77" s="7">
        <f t="shared" si="1"/>
        <v>1.7273437025640474E-4</v>
      </c>
      <c r="Z77" s="7">
        <f t="shared" si="1"/>
        <v>0.8714651879401244</v>
      </c>
      <c r="AA77" s="7">
        <f t="shared" si="1"/>
        <v>-1.1579668122962647</v>
      </c>
      <c r="AB77" s="7">
        <f t="shared" si="1"/>
        <v>2.3830086736182912</v>
      </c>
      <c r="AC77" s="7"/>
      <c r="AD77" s="7"/>
      <c r="AE77" s="7"/>
      <c r="AF77" s="7"/>
      <c r="AG77" s="7"/>
    </row>
    <row r="78" spans="1:33">
      <c r="B78" s="1">
        <v>0.16833768007038899</v>
      </c>
      <c r="C78" s="1">
        <v>0.260314858518785</v>
      </c>
      <c r="D78" s="1">
        <v>0.42925897026218202</v>
      </c>
      <c r="E78" s="1">
        <v>0.16506062275064401</v>
      </c>
      <c r="F78" s="1">
        <v>5.3125184003402201E-2</v>
      </c>
      <c r="G78" s="1">
        <v>-0.27071703033822703</v>
      </c>
      <c r="H78" s="1">
        <v>2.3830595753460401E-2</v>
      </c>
      <c r="I78" s="1">
        <v>-0.74528834366184105</v>
      </c>
      <c r="J78" s="1">
        <v>-5.4794734205276502E-2</v>
      </c>
      <c r="K78" s="1">
        <v>-0.21063156747395601</v>
      </c>
      <c r="L78" s="1">
        <v>1.1425846541696E-2</v>
      </c>
      <c r="M78" s="1">
        <v>0.110977818285975</v>
      </c>
      <c r="N78" s="1">
        <v>2.1046917895334898E-2</v>
      </c>
      <c r="P78" s="7">
        <f t="shared" si="2"/>
        <v>-2.5128482151027485E-5</v>
      </c>
      <c r="Q78" s="7">
        <f t="shared" si="1"/>
        <v>1.2012945166844955E-4</v>
      </c>
      <c r="R78" s="7">
        <f t="shared" si="1"/>
        <v>-1.9999288535259652</v>
      </c>
      <c r="S78" s="7">
        <f t="shared" si="1"/>
        <v>4.535136733918553E-4</v>
      </c>
      <c r="T78" s="7">
        <f t="shared" si="1"/>
        <v>-1.9996115965753478</v>
      </c>
      <c r="U78" s="7">
        <f t="shared" si="1"/>
        <v>-2.0001239288925823</v>
      </c>
      <c r="V78" s="7">
        <f t="shared" si="1"/>
        <v>1.0173654450262503E-2</v>
      </c>
      <c r="W78" s="7">
        <f t="shared" si="1"/>
        <v>-8.1060789900767272E-5</v>
      </c>
      <c r="X78" s="7">
        <f t="shared" si="1"/>
        <v>8.3193750977455041E-4</v>
      </c>
      <c r="Y78" s="7">
        <f t="shared" si="1"/>
        <v>3.8176863519724246E-4</v>
      </c>
      <c r="Z78" s="7">
        <f t="shared" si="1"/>
        <v>0.83849047187377324</v>
      </c>
      <c r="AA78" s="7">
        <f t="shared" si="1"/>
        <v>-0.89855224968481107</v>
      </c>
      <c r="AB78" s="7">
        <f t="shared" si="1"/>
        <v>-6.2762442725456831</v>
      </c>
      <c r="AC78" s="7"/>
      <c r="AD78" s="7"/>
      <c r="AE78" s="7"/>
      <c r="AF78" s="7"/>
      <c r="AG78" s="7"/>
    </row>
    <row r="79" spans="1:33">
      <c r="B79" s="1">
        <v>-7.0724728496223604E-2</v>
      </c>
      <c r="C79" s="1">
        <v>-0.37150102743678498</v>
      </c>
      <c r="D79" s="1">
        <v>0.391105337249115</v>
      </c>
      <c r="E79" s="1">
        <v>0.26845084044770401</v>
      </c>
      <c r="F79" s="1">
        <v>-0.42031411813290098</v>
      </c>
      <c r="G79" s="1">
        <v>8.6100595583488204E-2</v>
      </c>
      <c r="H79" s="1">
        <v>0.27273948543054999</v>
      </c>
      <c r="I79" s="1">
        <v>0.209251151303945</v>
      </c>
      <c r="J79" s="1">
        <v>0.25348794462748703</v>
      </c>
      <c r="K79" s="1">
        <v>-0.49520059583771098</v>
      </c>
      <c r="L79" s="1">
        <v>0.14199730432669</v>
      </c>
      <c r="M79" s="1">
        <v>-3.4198247139255902E-3</v>
      </c>
      <c r="N79" s="1">
        <v>-7.1359167243264703E-3</v>
      </c>
      <c r="P79" s="7">
        <f t="shared" si="2"/>
        <v>-3.2640580921191575E-5</v>
      </c>
      <c r="Q79" s="7">
        <f t="shared" si="1"/>
        <v>-1.2617560757077303E-5</v>
      </c>
      <c r="R79" s="7">
        <f t="shared" si="1"/>
        <v>-1.9998168850120563</v>
      </c>
      <c r="S79" s="7">
        <f t="shared" si="1"/>
        <v>1.9753915542797289E-4</v>
      </c>
      <c r="T79" s="7">
        <f t="shared" si="1"/>
        <v>-2.0001674506376603</v>
      </c>
      <c r="U79" s="7">
        <f t="shared" si="1"/>
        <v>-1.9994713673792877</v>
      </c>
      <c r="V79" s="7">
        <f t="shared" si="1"/>
        <v>-4.5213633205815426E-4</v>
      </c>
      <c r="W79" s="7">
        <f t="shared" si="1"/>
        <v>5.610898450181727E-4</v>
      </c>
      <c r="X79" s="7">
        <f t="shared" si="1"/>
        <v>-2.1242144256275942E-5</v>
      </c>
      <c r="Y79" s="7">
        <f t="shared" si="1"/>
        <v>9.6812530706584277E-6</v>
      </c>
      <c r="Z79" s="7">
        <f t="shared" si="1"/>
        <v>-1.0512277330509348</v>
      </c>
      <c r="AA79" s="7">
        <f t="shared" si="1"/>
        <v>-42.516853019353107</v>
      </c>
      <c r="AB79" s="7">
        <f t="shared" si="1"/>
        <v>-1.4563772428702753</v>
      </c>
      <c r="AC79" s="7"/>
      <c r="AD79" s="7"/>
      <c r="AE79" s="7"/>
      <c r="AF79" s="7"/>
      <c r="AG79" s="7"/>
    </row>
    <row r="80" spans="1:33">
      <c r="B80" s="1">
        <v>0.42188843374879897</v>
      </c>
      <c r="C80" s="1">
        <v>0.18539868150562</v>
      </c>
      <c r="D80" s="1">
        <v>0.15611827175092099</v>
      </c>
      <c r="E80" s="1">
        <v>-7.93000057770539E-2</v>
      </c>
      <c r="F80" s="1">
        <v>0.244868592970334</v>
      </c>
      <c r="G80" s="1">
        <v>-1.0856873019656601E-2</v>
      </c>
      <c r="H80" s="1">
        <v>-7.3837712864177799E-2</v>
      </c>
      <c r="I80" s="1">
        <v>0.26393733722588703</v>
      </c>
      <c r="J80" s="1">
        <v>0.33700871991201797</v>
      </c>
      <c r="K80" s="1">
        <v>-0.10254155788677299</v>
      </c>
      <c r="L80" s="1">
        <v>-2.6406886726284499E-2</v>
      </c>
      <c r="M80" s="1">
        <v>-7.4531776275566203E-2</v>
      </c>
      <c r="N80" s="1">
        <v>0.70102830870396204</v>
      </c>
      <c r="P80" s="7">
        <f t="shared" si="2"/>
        <v>1.4521021935973073E-5</v>
      </c>
      <c r="Q80" s="7">
        <f t="shared" si="1"/>
        <v>-1.2552141919792471E-4</v>
      </c>
      <c r="R80" s="7">
        <f t="shared" si="1"/>
        <v>-2.0001224600353602</v>
      </c>
      <c r="S80" s="7">
        <f t="shared" si="1"/>
        <v>-1.5152302873317597E-4</v>
      </c>
      <c r="T80" s="7">
        <f t="shared" si="1"/>
        <v>-2.0000242049402668</v>
      </c>
      <c r="U80" s="7">
        <f t="shared" si="1"/>
        <v>-1.995267235827151</v>
      </c>
      <c r="V80" s="7">
        <f t="shared" si="1"/>
        <v>1.0018882350579063E-3</v>
      </c>
      <c r="W80" s="7">
        <f t="shared" si="1"/>
        <v>-9.414062499903403E-5</v>
      </c>
      <c r="X80" s="7">
        <f t="shared" si="1"/>
        <v>-1.5242902922925995E-4</v>
      </c>
      <c r="Y80" s="7">
        <f t="shared" si="1"/>
        <v>3.0156759815221424E-3</v>
      </c>
      <c r="Z80" s="7">
        <f t="shared" si="1"/>
        <v>-27.545206076953878</v>
      </c>
      <c r="AA80" s="7">
        <f t="shared" si="1"/>
        <v>-0.64225084477503369</v>
      </c>
      <c r="AB80" s="7">
        <f t="shared" si="1"/>
        <v>-0.89339300699829549</v>
      </c>
      <c r="AC80" s="7"/>
      <c r="AD80" s="7"/>
      <c r="AE80" s="7"/>
      <c r="AF80" s="7"/>
      <c r="AG80" s="7"/>
    </row>
    <row r="81" spans="2:33">
      <c r="B81" s="1">
        <v>-0.32008147904479001</v>
      </c>
      <c r="C81" s="1">
        <v>0.370409834714714</v>
      </c>
      <c r="D81" s="1">
        <v>0.280986845603587</v>
      </c>
      <c r="E81" s="1">
        <v>0.28182313343531901</v>
      </c>
      <c r="F81" s="1">
        <v>3.2296160168495798E-2</v>
      </c>
      <c r="G81" s="1">
        <v>-6.16780690951413E-2</v>
      </c>
      <c r="H81" s="1">
        <v>1.88733136701482E-2</v>
      </c>
      <c r="I81" s="1">
        <v>0.230710029086791</v>
      </c>
      <c r="J81" s="1">
        <v>-0.122011338488585</v>
      </c>
      <c r="K81" s="1">
        <v>3.40288743092154E-3</v>
      </c>
      <c r="L81" s="1">
        <v>-0.52504055965693497</v>
      </c>
      <c r="M81" s="1">
        <v>-0.50076020365561502</v>
      </c>
      <c r="N81" s="1">
        <v>-4.7002684027431602E-2</v>
      </c>
      <c r="P81" s="7">
        <f t="shared" si="2"/>
        <v>4.9959014366308525E-5</v>
      </c>
      <c r="Q81" s="7">
        <f t="shared" si="1"/>
        <v>-1.6076016768213408E-5</v>
      </c>
      <c r="R81" s="7">
        <f t="shared" si="1"/>
        <v>-1.9998374101695442</v>
      </c>
      <c r="S81" s="7">
        <f t="shared" si="1"/>
        <v>1.0569240472885651E-4</v>
      </c>
      <c r="T81" s="7">
        <f t="shared" si="1"/>
        <v>-1.999626885411983</v>
      </c>
      <c r="U81" s="7">
        <f t="shared" si="1"/>
        <v>-1.9997216337120605</v>
      </c>
      <c r="V81" s="7">
        <f t="shared" si="1"/>
        <v>-3.3011516280125096E-3</v>
      </c>
      <c r="W81" s="7">
        <f t="shared" si="1"/>
        <v>1.1716401456836143E-4</v>
      </c>
      <c r="X81" s="7">
        <f t="shared" si="1"/>
        <v>-3.5085664263081768E-4</v>
      </c>
      <c r="Y81" s="7">
        <f t="shared" si="1"/>
        <v>1.115598733402102E-2</v>
      </c>
      <c r="Z81" s="7">
        <f t="shared" si="1"/>
        <v>-0.90978915984900632</v>
      </c>
      <c r="AA81" s="7">
        <f t="shared" si="1"/>
        <v>4.7645512103819933E-2</v>
      </c>
      <c r="AB81" s="7">
        <f t="shared" si="1"/>
        <v>-11.662658960230997</v>
      </c>
      <c r="AC81" s="7"/>
      <c r="AD81" s="7"/>
      <c r="AE81" s="7"/>
      <c r="AF81" s="7"/>
      <c r="AG81" s="7"/>
    </row>
    <row r="82" spans="2:33">
      <c r="B82" s="1">
        <v>0.359159097411968</v>
      </c>
      <c r="C82" s="1">
        <v>0.30243962922420897</v>
      </c>
      <c r="D82" s="1">
        <v>-0.203807243392614</v>
      </c>
      <c r="E82" s="1">
        <v>0.212074112718251</v>
      </c>
      <c r="F82" s="1">
        <v>-0.31645438815655602</v>
      </c>
      <c r="G82" s="1">
        <v>3.77684954805695E-2</v>
      </c>
      <c r="H82" s="1">
        <v>1.6832577161700502E-2</v>
      </c>
      <c r="I82" s="1">
        <v>3.28697884501023E-2</v>
      </c>
      <c r="J82" s="1">
        <v>-0.25502939371686301</v>
      </c>
      <c r="K82" s="1">
        <v>-1.49033119864821E-3</v>
      </c>
      <c r="L82" s="1">
        <v>0.52644463340738601</v>
      </c>
      <c r="M82" s="1">
        <v>-0.49653533394076899</v>
      </c>
      <c r="N82" s="1">
        <v>-3.6811565486511301E-2</v>
      </c>
      <c r="P82" s="7">
        <f t="shared" si="2"/>
        <v>-3.2485358305222926E-5</v>
      </c>
      <c r="Q82" s="7">
        <f t="shared" si="1"/>
        <v>-1.7498507398438095E-6</v>
      </c>
      <c r="R82" s="7">
        <f t="shared" si="1"/>
        <v>-2.000248944083348</v>
      </c>
      <c r="S82" s="7">
        <f t="shared" si="1"/>
        <v>-1.7212246126194276E-4</v>
      </c>
      <c r="T82" s="7">
        <f t="shared" si="1"/>
        <v>-2.0000583396664258</v>
      </c>
      <c r="U82" s="7">
        <f t="shared" si="1"/>
        <v>-1.9991753581874734</v>
      </c>
      <c r="V82" s="7">
        <f t="shared" si="1"/>
        <v>-4.1272121516290627E-4</v>
      </c>
      <c r="W82" s="7">
        <f t="shared" si="1"/>
        <v>-9.5785529836208644E-5</v>
      </c>
      <c r="X82" s="7">
        <f t="shared" si="1"/>
        <v>6.0517056833196714E-4</v>
      </c>
      <c r="Y82" s="7">
        <f t="shared" si="1"/>
        <v>6.5025010172027622E-2</v>
      </c>
      <c r="Z82" s="7">
        <f t="shared" si="1"/>
        <v>-1.0695758255961854</v>
      </c>
      <c r="AA82" s="7">
        <f t="shared" si="1"/>
        <v>-2.0609894885402928</v>
      </c>
      <c r="AB82" s="7">
        <f t="shared" si="1"/>
        <v>-14.475842536003301</v>
      </c>
      <c r="AC82" s="7"/>
      <c r="AD82" s="7"/>
      <c r="AE82" s="7"/>
      <c r="AF82" s="7"/>
      <c r="AG82" s="7"/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B595-9B40-494C-8A84-86ABD93085D5}">
  <sheetPr codeName="Sheet1"/>
  <dimension ref="A1:U179"/>
  <sheetViews>
    <sheetView workbookViewId="0">
      <selection activeCell="A20" sqref="A20"/>
    </sheetView>
  </sheetViews>
  <sheetFormatPr defaultRowHeight="15"/>
  <cols>
    <col min="10" max="10" width="20.5703125" bestFit="1" customWidth="1"/>
    <col min="11" max="11" width="20.140625" bestFit="1" customWidth="1"/>
    <col min="12" max="12" width="20.5703125" bestFit="1" customWidth="1"/>
    <col min="13" max="13" width="21.140625" bestFit="1" customWidth="1"/>
    <col min="14" max="14" width="20.5703125" bestFit="1" customWidth="1"/>
    <col min="15" max="16" width="21.140625" bestFit="1" customWidth="1"/>
    <col min="17" max="17" width="21.7109375" bestFit="1" customWidth="1"/>
  </cols>
  <sheetData>
    <row r="1" spans="1:21">
      <c r="A1" t="s">
        <v>198</v>
      </c>
    </row>
    <row r="6" spans="1:21">
      <c r="A6" s="8" t="s">
        <v>24</v>
      </c>
      <c r="I6" t="s">
        <v>197</v>
      </c>
    </row>
    <row r="7" spans="1:21">
      <c r="A7" s="8" t="s">
        <v>25</v>
      </c>
    </row>
    <row r="8" spans="1:21">
      <c r="A8" s="8" t="s">
        <v>26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 t="s">
        <v>27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>
      <c r="A10" s="8" t="s">
        <v>28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8" t="s">
        <v>29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8" t="s">
        <v>30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 t="s">
        <v>31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 t="s">
        <v>32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8" t="s">
        <v>34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 t="s">
        <v>35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8" t="s">
        <v>36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8" t="s">
        <v>37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>
      <c r="A20" s="8" t="s">
        <v>38</v>
      </c>
    </row>
    <row r="21" spans="1:21">
      <c r="A21" s="8" t="s">
        <v>39</v>
      </c>
    </row>
    <row r="22" spans="1:21">
      <c r="A22" s="8" t="s">
        <v>40</v>
      </c>
    </row>
    <row r="23" spans="1:21">
      <c r="A23" s="8" t="s">
        <v>41</v>
      </c>
    </row>
    <row r="24" spans="1:21">
      <c r="A24" s="8" t="s">
        <v>42</v>
      </c>
    </row>
    <row r="25" spans="1:21">
      <c r="A25" s="8" t="s">
        <v>43</v>
      </c>
    </row>
    <row r="26" spans="1:21">
      <c r="A26" s="8" t="s">
        <v>44</v>
      </c>
    </row>
    <row r="27" spans="1:21">
      <c r="A27" s="8" t="s">
        <v>45</v>
      </c>
    </row>
    <row r="28" spans="1:21">
      <c r="A28" s="8" t="s">
        <v>46</v>
      </c>
    </row>
    <row r="29" spans="1:21">
      <c r="A29" s="8" t="s">
        <v>47</v>
      </c>
    </row>
    <row r="30" spans="1:21">
      <c r="A30" s="8" t="s">
        <v>48</v>
      </c>
    </row>
    <row r="31" spans="1:21">
      <c r="A31" s="8" t="s">
        <v>49</v>
      </c>
    </row>
    <row r="32" spans="1:21">
      <c r="A32" s="8" t="s">
        <v>50</v>
      </c>
    </row>
    <row r="33" spans="1:1">
      <c r="A33" s="8" t="s">
        <v>51</v>
      </c>
    </row>
    <row r="34" spans="1:1">
      <c r="A34" s="8" t="s">
        <v>52</v>
      </c>
    </row>
    <row r="35" spans="1:1">
      <c r="A35" s="8" t="s">
        <v>53</v>
      </c>
    </row>
    <row r="36" spans="1:1">
      <c r="A36" s="8" t="s">
        <v>54</v>
      </c>
    </row>
    <row r="37" spans="1:1">
      <c r="A37" s="8" t="s">
        <v>55</v>
      </c>
    </row>
    <row r="38" spans="1:1">
      <c r="A38" s="8" t="s">
        <v>56</v>
      </c>
    </row>
    <row r="39" spans="1:1">
      <c r="A39" s="8" t="s">
        <v>57</v>
      </c>
    </row>
    <row r="40" spans="1:1">
      <c r="A40" s="8" t="s">
        <v>58</v>
      </c>
    </row>
    <row r="41" spans="1:1">
      <c r="A41" s="8" t="s">
        <v>59</v>
      </c>
    </row>
    <row r="42" spans="1:1">
      <c r="A42" s="8" t="s">
        <v>60</v>
      </c>
    </row>
    <row r="43" spans="1:1">
      <c r="A43" s="8" t="s">
        <v>61</v>
      </c>
    </row>
    <row r="44" spans="1:1">
      <c r="A44" s="8" t="s">
        <v>62</v>
      </c>
    </row>
    <row r="45" spans="1:1">
      <c r="A45" s="8" t="s">
        <v>63</v>
      </c>
    </row>
    <row r="46" spans="1:1">
      <c r="A46" s="8" t="s">
        <v>64</v>
      </c>
    </row>
    <row r="47" spans="1:1">
      <c r="A47" s="8" t="s">
        <v>65</v>
      </c>
    </row>
    <row r="48" spans="1:1">
      <c r="A48" s="8" t="s">
        <v>66</v>
      </c>
    </row>
    <row r="49" spans="1:1">
      <c r="A49" s="8" t="s">
        <v>67</v>
      </c>
    </row>
    <row r="50" spans="1:1">
      <c r="A50" s="8" t="s">
        <v>68</v>
      </c>
    </row>
    <row r="51" spans="1:1">
      <c r="A51" s="8" t="s">
        <v>69</v>
      </c>
    </row>
    <row r="52" spans="1:1">
      <c r="A52" s="8" t="s">
        <v>70</v>
      </c>
    </row>
    <row r="53" spans="1:1">
      <c r="A53" s="8" t="s">
        <v>71</v>
      </c>
    </row>
    <row r="54" spans="1:1">
      <c r="A54" s="8" t="s">
        <v>72</v>
      </c>
    </row>
    <row r="55" spans="1:1">
      <c r="A55" s="8" t="s">
        <v>73</v>
      </c>
    </row>
    <row r="56" spans="1:1">
      <c r="A56" s="8" t="s">
        <v>74</v>
      </c>
    </row>
    <row r="57" spans="1:1">
      <c r="A57" s="8" t="s">
        <v>75</v>
      </c>
    </row>
    <row r="58" spans="1:1">
      <c r="A58" s="8" t="s">
        <v>76</v>
      </c>
    </row>
    <row r="59" spans="1:1">
      <c r="A59" s="8" t="s">
        <v>77</v>
      </c>
    </row>
    <row r="60" spans="1:1">
      <c r="A60" s="8" t="s">
        <v>78</v>
      </c>
    </row>
    <row r="61" spans="1:1">
      <c r="A61" s="8" t="s">
        <v>79</v>
      </c>
    </row>
    <row r="62" spans="1:1">
      <c r="A62" s="8" t="s">
        <v>80</v>
      </c>
    </row>
    <row r="63" spans="1:1">
      <c r="A63" s="8" t="s">
        <v>81</v>
      </c>
    </row>
    <row r="64" spans="1:1">
      <c r="A64" s="8" t="s">
        <v>82</v>
      </c>
    </row>
    <row r="65" spans="1:1">
      <c r="A65" s="8" t="s">
        <v>83</v>
      </c>
    </row>
    <row r="66" spans="1:1">
      <c r="A66" s="8" t="s">
        <v>84</v>
      </c>
    </row>
    <row r="67" spans="1:1">
      <c r="A67" s="8" t="s">
        <v>85</v>
      </c>
    </row>
    <row r="68" spans="1:1">
      <c r="A68" s="8" t="s">
        <v>86</v>
      </c>
    </row>
    <row r="69" spans="1:1">
      <c r="A69" s="8" t="s">
        <v>87</v>
      </c>
    </row>
    <row r="70" spans="1:1">
      <c r="A70" s="8" t="s">
        <v>88</v>
      </c>
    </row>
    <row r="71" spans="1:1">
      <c r="A71" s="8" t="s">
        <v>89</v>
      </c>
    </row>
    <row r="72" spans="1:1">
      <c r="A72" s="8" t="s">
        <v>90</v>
      </c>
    </row>
    <row r="73" spans="1:1">
      <c r="A73" s="8" t="s">
        <v>91</v>
      </c>
    </row>
    <row r="74" spans="1:1">
      <c r="A74" s="8" t="s">
        <v>92</v>
      </c>
    </row>
    <row r="75" spans="1:1">
      <c r="A75" s="8" t="s">
        <v>93</v>
      </c>
    </row>
    <row r="76" spans="1:1">
      <c r="A76" s="8" t="s">
        <v>94</v>
      </c>
    </row>
    <row r="77" spans="1:1">
      <c r="A77" s="8" t="s">
        <v>95</v>
      </c>
    </row>
    <row r="78" spans="1:1">
      <c r="A78" s="8" t="s">
        <v>96</v>
      </c>
    </row>
    <row r="79" spans="1:1">
      <c r="A79" s="8" t="s">
        <v>97</v>
      </c>
    </row>
    <row r="80" spans="1:1">
      <c r="A80" s="8" t="s">
        <v>98</v>
      </c>
    </row>
    <row r="81" spans="1:1">
      <c r="A81" s="8" t="s">
        <v>99</v>
      </c>
    </row>
    <row r="82" spans="1:1">
      <c r="A82" s="8" t="s">
        <v>100</v>
      </c>
    </row>
    <row r="83" spans="1:1">
      <c r="A83" s="8" t="s">
        <v>101</v>
      </c>
    </row>
    <row r="84" spans="1:1">
      <c r="A84" s="8" t="s">
        <v>102</v>
      </c>
    </row>
    <row r="85" spans="1:1">
      <c r="A85" s="8" t="s">
        <v>103</v>
      </c>
    </row>
    <row r="86" spans="1:1">
      <c r="A86" s="8" t="s">
        <v>104</v>
      </c>
    </row>
    <row r="87" spans="1:1">
      <c r="A87" s="8" t="s">
        <v>105</v>
      </c>
    </row>
    <row r="88" spans="1:1">
      <c r="A88" s="8" t="s">
        <v>106</v>
      </c>
    </row>
    <row r="89" spans="1:1">
      <c r="A89" s="8" t="s">
        <v>107</v>
      </c>
    </row>
    <row r="90" spans="1:1">
      <c r="A90" s="8" t="s">
        <v>108</v>
      </c>
    </row>
    <row r="91" spans="1:1">
      <c r="A91" s="8" t="s">
        <v>109</v>
      </c>
    </row>
    <row r="92" spans="1:1">
      <c r="A92" s="8" t="s">
        <v>110</v>
      </c>
    </row>
    <row r="93" spans="1:1">
      <c r="A93" s="8" t="s">
        <v>111</v>
      </c>
    </row>
    <row r="94" spans="1:1">
      <c r="A94" s="8" t="s">
        <v>112</v>
      </c>
    </row>
    <row r="95" spans="1:1">
      <c r="A95" s="8" t="s">
        <v>113</v>
      </c>
    </row>
    <row r="96" spans="1:1">
      <c r="A96" s="8" t="s">
        <v>114</v>
      </c>
    </row>
    <row r="97" spans="1:1">
      <c r="A97" s="8" t="s">
        <v>115</v>
      </c>
    </row>
    <row r="98" spans="1:1">
      <c r="A98" s="8" t="s">
        <v>116</v>
      </c>
    </row>
    <row r="99" spans="1:1">
      <c r="A99" s="8" t="s">
        <v>117</v>
      </c>
    </row>
    <row r="100" spans="1:1">
      <c r="A100" s="8" t="s">
        <v>118</v>
      </c>
    </row>
    <row r="101" spans="1:1">
      <c r="A101" s="8" t="s">
        <v>119</v>
      </c>
    </row>
    <row r="102" spans="1:1">
      <c r="A102" s="8" t="s">
        <v>120</v>
      </c>
    </row>
    <row r="103" spans="1:1">
      <c r="A103" s="8" t="s">
        <v>121</v>
      </c>
    </row>
    <row r="104" spans="1:1">
      <c r="A104" s="8" t="s">
        <v>122</v>
      </c>
    </row>
    <row r="105" spans="1:1">
      <c r="A105" s="8" t="s">
        <v>123</v>
      </c>
    </row>
    <row r="106" spans="1:1">
      <c r="A106" s="8" t="s">
        <v>124</v>
      </c>
    </row>
    <row r="107" spans="1:1">
      <c r="A107" s="8" t="s">
        <v>125</v>
      </c>
    </row>
    <row r="108" spans="1:1">
      <c r="A108" s="8" t="s">
        <v>126</v>
      </c>
    </row>
    <row r="109" spans="1:1">
      <c r="A109" s="8" t="s">
        <v>127</v>
      </c>
    </row>
    <row r="110" spans="1:1">
      <c r="A110" s="8" t="s">
        <v>128</v>
      </c>
    </row>
    <row r="111" spans="1:1">
      <c r="A111" s="8" t="s">
        <v>129</v>
      </c>
    </row>
    <row r="112" spans="1:1">
      <c r="A112" s="8" t="s">
        <v>130</v>
      </c>
    </row>
    <row r="113" spans="1:1">
      <c r="A113" s="8" t="s">
        <v>131</v>
      </c>
    </row>
    <row r="114" spans="1:1">
      <c r="A114" s="8" t="s">
        <v>132</v>
      </c>
    </row>
    <row r="115" spans="1:1">
      <c r="A115" s="8" t="s">
        <v>133</v>
      </c>
    </row>
    <row r="116" spans="1:1">
      <c r="A116" s="8" t="s">
        <v>134</v>
      </c>
    </row>
    <row r="117" spans="1:1">
      <c r="A117" s="8" t="s">
        <v>135</v>
      </c>
    </row>
    <row r="118" spans="1:1">
      <c r="A118" s="8" t="s">
        <v>136</v>
      </c>
    </row>
    <row r="119" spans="1:1">
      <c r="A119" s="8" t="s">
        <v>137</v>
      </c>
    </row>
    <row r="120" spans="1:1">
      <c r="A120" s="8" t="s">
        <v>138</v>
      </c>
    </row>
    <row r="121" spans="1:1">
      <c r="A121" s="8" t="s">
        <v>139</v>
      </c>
    </row>
    <row r="122" spans="1:1">
      <c r="A122" s="8" t="s">
        <v>140</v>
      </c>
    </row>
    <row r="123" spans="1:1">
      <c r="A123" s="8" t="s">
        <v>141</v>
      </c>
    </row>
    <row r="124" spans="1:1">
      <c r="A124" s="8" t="s">
        <v>142</v>
      </c>
    </row>
    <row r="125" spans="1:1">
      <c r="A125" s="8" t="s">
        <v>143</v>
      </c>
    </row>
    <row r="126" spans="1:1">
      <c r="A126" s="8" t="s">
        <v>144</v>
      </c>
    </row>
    <row r="127" spans="1:1">
      <c r="A127" s="8" t="s">
        <v>145</v>
      </c>
    </row>
    <row r="128" spans="1:1">
      <c r="A128" s="8" t="s">
        <v>146</v>
      </c>
    </row>
    <row r="129" spans="1:1">
      <c r="A129" s="8" t="s">
        <v>147</v>
      </c>
    </row>
    <row r="130" spans="1:1">
      <c r="A130" s="8" t="s">
        <v>148</v>
      </c>
    </row>
    <row r="131" spans="1:1">
      <c r="A131" s="8" t="s">
        <v>149</v>
      </c>
    </row>
    <row r="132" spans="1:1">
      <c r="A132" s="8" t="s">
        <v>150</v>
      </c>
    </row>
    <row r="133" spans="1:1">
      <c r="A133" s="8" t="s">
        <v>151</v>
      </c>
    </row>
    <row r="134" spans="1:1">
      <c r="A134" s="8" t="s">
        <v>152</v>
      </c>
    </row>
    <row r="135" spans="1:1">
      <c r="A135" s="8" t="s">
        <v>153</v>
      </c>
    </row>
    <row r="136" spans="1:1">
      <c r="A136" s="8" t="s">
        <v>154</v>
      </c>
    </row>
    <row r="137" spans="1:1">
      <c r="A137" s="8" t="s">
        <v>155</v>
      </c>
    </row>
    <row r="138" spans="1:1">
      <c r="A138" s="8" t="s">
        <v>156</v>
      </c>
    </row>
    <row r="139" spans="1:1">
      <c r="A139" s="8" t="s">
        <v>157</v>
      </c>
    </row>
    <row r="140" spans="1:1">
      <c r="A140" s="8" t="s">
        <v>158</v>
      </c>
    </row>
    <row r="141" spans="1:1">
      <c r="A141" s="8" t="s">
        <v>159</v>
      </c>
    </row>
    <row r="142" spans="1:1">
      <c r="A142" s="8" t="s">
        <v>160</v>
      </c>
    </row>
    <row r="143" spans="1:1">
      <c r="A143" s="8" t="s">
        <v>161</v>
      </c>
    </row>
    <row r="144" spans="1:1">
      <c r="A144" s="8" t="s">
        <v>162</v>
      </c>
    </row>
    <row r="145" spans="1:1">
      <c r="A145" s="8" t="s">
        <v>163</v>
      </c>
    </row>
    <row r="146" spans="1:1">
      <c r="A146" s="8" t="s">
        <v>164</v>
      </c>
    </row>
    <row r="147" spans="1:1">
      <c r="A147" s="8" t="s">
        <v>165</v>
      </c>
    </row>
    <row r="148" spans="1:1">
      <c r="A148" s="8" t="s">
        <v>166</v>
      </c>
    </row>
    <row r="149" spans="1:1">
      <c r="A149" s="8" t="s">
        <v>167</v>
      </c>
    </row>
    <row r="150" spans="1:1">
      <c r="A150" s="8" t="s">
        <v>168</v>
      </c>
    </row>
    <row r="151" spans="1:1">
      <c r="A151" s="8" t="s">
        <v>169</v>
      </c>
    </row>
    <row r="152" spans="1:1">
      <c r="A152" s="8" t="s">
        <v>170</v>
      </c>
    </row>
    <row r="153" spans="1:1">
      <c r="A153" s="8" t="s">
        <v>171</v>
      </c>
    </row>
    <row r="154" spans="1:1">
      <c r="A154" s="8" t="s">
        <v>172</v>
      </c>
    </row>
    <row r="155" spans="1:1">
      <c r="A155" s="8" t="s">
        <v>173</v>
      </c>
    </row>
    <row r="156" spans="1:1">
      <c r="A156" s="8" t="s">
        <v>174</v>
      </c>
    </row>
    <row r="157" spans="1:1">
      <c r="A157" s="8" t="s">
        <v>175</v>
      </c>
    </row>
    <row r="158" spans="1:1">
      <c r="A158" s="8" t="s">
        <v>176</v>
      </c>
    </row>
    <row r="159" spans="1:1">
      <c r="A159" s="8" t="s">
        <v>177</v>
      </c>
    </row>
    <row r="160" spans="1:1">
      <c r="A160" s="8" t="s">
        <v>178</v>
      </c>
    </row>
    <row r="161" spans="1:1">
      <c r="A161" s="8" t="s">
        <v>179</v>
      </c>
    </row>
    <row r="162" spans="1:1">
      <c r="A162" s="8" t="s">
        <v>180</v>
      </c>
    </row>
    <row r="163" spans="1:1">
      <c r="A163" s="8" t="s">
        <v>181</v>
      </c>
    </row>
    <row r="164" spans="1:1">
      <c r="A164" s="8" t="s">
        <v>182</v>
      </c>
    </row>
    <row r="165" spans="1:1">
      <c r="A165" s="8" t="s">
        <v>183</v>
      </c>
    </row>
    <row r="166" spans="1:1">
      <c r="A166" s="8" t="s">
        <v>184</v>
      </c>
    </row>
    <row r="167" spans="1:1">
      <c r="A167" s="8" t="s">
        <v>185</v>
      </c>
    </row>
    <row r="168" spans="1:1">
      <c r="A168" s="8" t="s">
        <v>186</v>
      </c>
    </row>
    <row r="169" spans="1:1">
      <c r="A169" s="8" t="s">
        <v>187</v>
      </c>
    </row>
    <row r="170" spans="1:1">
      <c r="A170" s="8" t="s">
        <v>188</v>
      </c>
    </row>
    <row r="171" spans="1:1">
      <c r="A171" s="8" t="s">
        <v>189</v>
      </c>
    </row>
    <row r="172" spans="1:1">
      <c r="A172" s="8" t="s">
        <v>190</v>
      </c>
    </row>
    <row r="173" spans="1:1">
      <c r="A173" s="8" t="s">
        <v>191</v>
      </c>
    </row>
    <row r="174" spans="1:1">
      <c r="A174" s="8" t="s">
        <v>192</v>
      </c>
    </row>
    <row r="175" spans="1:1">
      <c r="A175" s="8" t="s">
        <v>193</v>
      </c>
    </row>
    <row r="176" spans="1:1">
      <c r="A176" s="8" t="s">
        <v>194</v>
      </c>
    </row>
    <row r="177" spans="1:1">
      <c r="A177" s="9" t="s">
        <v>195</v>
      </c>
    </row>
    <row r="178" spans="1:1">
      <c r="A178" s="10"/>
    </row>
    <row r="179" spans="1:1">
      <c r="A179" s="11" t="s">
        <v>196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5</xdr:col>
                <xdr:colOff>0</xdr:colOff>
                <xdr:row>177</xdr:row>
                <xdr:rowOff>0</xdr:rowOff>
              </from>
              <to>
                <xdr:col>9</xdr:col>
                <xdr:colOff>161925</xdr:colOff>
                <xdr:row>181</xdr:row>
                <xdr:rowOff>161925</xdr:rowOff>
              </to>
            </anchor>
          </controlPr>
        </control>
      </mc:Choice>
      <mc:Fallback>
        <control shapeId="2049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numpy</vt:lpstr>
      <vt:lpstr>sympy live shell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Shafiq bin Mohd Shaufi</dc:creator>
  <cp:lastModifiedBy>Muhammad Iqbal Shafiq bin Mohd Shaufi</cp:lastModifiedBy>
  <dcterms:created xsi:type="dcterms:W3CDTF">2015-06-05T18:17:20Z</dcterms:created>
  <dcterms:modified xsi:type="dcterms:W3CDTF">2023-01-17T09:07:10Z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Enabled">
    <vt:lpwstr>true</vt:lpwstr>
  </property>
  <property fmtid="{D5CDD505-2E9C-101B-9397-08002B2CF9AE}" pid="3" name="MSIP_Label_06530cf4-8573-4c29-a912-bbcdac835909_SetDate">
    <vt:lpwstr>2023-01-17T09:07:09Z</vt:lpwstr>
  </property>
  <property fmtid="{D5CDD505-2E9C-101B-9397-08002B2CF9AE}" pid="4" name="MSIP_Label_06530cf4-8573-4c29-a912-bbcdac835909_Method">
    <vt:lpwstr>Standard</vt:lpwstr>
  </property>
  <property fmtid="{D5CDD505-2E9C-101B-9397-08002B2CF9AE}" pid="5" name="MSIP_Label_06530cf4-8573-4c29-a912-bbcdac835909_Name">
    <vt:lpwstr>06530cf4-8573-4c29-a912-bbcdac835909</vt:lpwstr>
  </property>
  <property fmtid="{D5CDD505-2E9C-101B-9397-08002B2CF9AE}" pid="6" name="MSIP_Label_06530cf4-8573-4c29-a912-bbcdac835909_SiteId">
    <vt:lpwstr>ecaa386b-c8df-4ce0-ad01-740cbdb5ba55</vt:lpwstr>
  </property>
  <property fmtid="{D5CDD505-2E9C-101B-9397-08002B2CF9AE}" pid="7" name="MSIP_Label_06530cf4-8573-4c29-a912-bbcdac835909_ActionId">
    <vt:lpwstr>39fe4827-8672-4585-b4f1-b7483528a348</vt:lpwstr>
  </property>
  <property fmtid="{D5CDD505-2E9C-101B-9397-08002B2CF9AE}" pid="8" name="MSIP_Label_06530cf4-8573-4c29-a912-bbcdac835909_ContentBits">
    <vt:lpwstr>2</vt:lpwstr>
  </property>
</Properties>
</file>