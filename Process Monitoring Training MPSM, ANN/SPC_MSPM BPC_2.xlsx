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pedumy-my.sharepoint.com/personal/yusri_ump_edu_my/Documents/Desktop/"/>
    </mc:Choice>
  </mc:AlternateContent>
  <xr:revisionPtr revIDLastSave="7" documentId="8_{C09ED30A-732C-486B-B574-2CD5A27670BA}" xr6:coauthVersionLast="47" xr6:coauthVersionMax="47" xr10:uidLastSave="{FD905E5D-8F9A-4054-966C-862D51109FF8}"/>
  <bookViews>
    <workbookView xWindow="-110" yWindow="-110" windowWidth="19420" windowHeight="13020" activeTab="1" xr2:uid="{822B3635-BD55-4F93-AA9C-A8581DDBD881}"/>
  </bookViews>
  <sheets>
    <sheet name="STEP 4-PHASE I" sheetId="4" r:id="rId1"/>
    <sheet name="SPC1" sheetId="10" r:id="rId2"/>
    <sheet name="SPC2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33" i="10" l="1"/>
  <c r="Y33" i="10"/>
  <c r="Z32" i="10"/>
  <c r="Y32" i="10"/>
  <c r="Z31" i="10"/>
  <c r="Y31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5" i="10"/>
  <c r="Y5" i="10"/>
  <c r="Z4" i="10"/>
  <c r="Y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4" i="10"/>
  <c r="G34" i="10" s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4" i="10"/>
  <c r="F35" i="10" s="1"/>
  <c r="C34" i="9"/>
  <c r="C33" i="9"/>
  <c r="G37" i="10" l="1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G36" i="10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F34" i="10"/>
  <c r="C36" i="9"/>
  <c r="F3" i="9" s="1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C35" i="9"/>
  <c r="E3" i="9" s="1"/>
  <c r="E4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F36" i="10" l="1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F37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E46" i="4" l="1"/>
  <c r="E45" i="4"/>
  <c r="E44" i="4"/>
  <c r="E47" i="4" l="1"/>
  <c r="E50" i="4" s="1"/>
  <c r="F10" i="4"/>
  <c r="F9" i="4"/>
  <c r="E51" i="4" l="1"/>
</calcChain>
</file>

<file path=xl/sharedStrings.xml><?xml version="1.0" encoding="utf-8"?>
<sst xmlns="http://schemas.openxmlformats.org/spreadsheetml/2006/main" count="58" uniqueCount="37">
  <si>
    <t>Samples</t>
  </si>
  <si>
    <t>Average</t>
  </si>
  <si>
    <t>Eigenvalues</t>
  </si>
  <si>
    <t>SPE</t>
  </si>
  <si>
    <t>STEP 4</t>
  </si>
  <si>
    <t>From F distribution</t>
  </si>
  <si>
    <t>F5,26,0.05=</t>
  </si>
  <si>
    <t>F5,26,0.01=</t>
  </si>
  <si>
    <t>A=</t>
  </si>
  <si>
    <t>n=</t>
  </si>
  <si>
    <t>a=</t>
  </si>
  <si>
    <t>0.05,0.01</t>
  </si>
  <si>
    <t>T^2 Limit</t>
  </si>
  <si>
    <t>Control limit</t>
  </si>
  <si>
    <t>Warning limit</t>
  </si>
  <si>
    <t>Sample</t>
  </si>
  <si>
    <t>T^2</t>
  </si>
  <si>
    <t xml:space="preserve">Control limit </t>
  </si>
  <si>
    <t>V6 - NOC1</t>
  </si>
  <si>
    <t>V6 - CASE1</t>
  </si>
  <si>
    <t>S.D.</t>
  </si>
  <si>
    <t>UCL</t>
  </si>
  <si>
    <t>LCL</t>
  </si>
  <si>
    <t>V6-1</t>
  </si>
  <si>
    <t>V6-2</t>
  </si>
  <si>
    <t>V6-3</t>
  </si>
  <si>
    <t>Ave</t>
  </si>
  <si>
    <t>R</t>
  </si>
  <si>
    <t>XX</t>
  </si>
  <si>
    <t>SD</t>
  </si>
  <si>
    <t>D4</t>
  </si>
  <si>
    <t>D3</t>
  </si>
  <si>
    <t>Parameter</t>
  </si>
  <si>
    <t>Limits</t>
  </si>
  <si>
    <t>NOC 1-3</t>
  </si>
  <si>
    <t>-</t>
  </si>
  <si>
    <t>CASE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</si>
</sst>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3" borderId="0" xfId="0" applyFont="1" applyFill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9" fontId="0" fillId="5" borderId="1" xfId="0" applyNumberFormat="1" applyFill="1" applyBorder="1"/>
    <xf numFmtId="9" fontId="0" fillId="5" borderId="0" xfId="0" applyNumberFormat="1" applyFill="1"/>
    <xf numFmtId="9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0" fontId="0" fillId="0" borderId="5" xfId="0" applyBorder="1"/>
    <xf numFmtId="165" fontId="0" fillId="0" borderId="0" xfId="0" applyNumberFormat="1" applyBorder="1"/>
    <xf numFmtId="0" fontId="0" fillId="0" borderId="0" xfId="0" quotePrefix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4-PHASE I'!$I$3</c:f>
              <c:strCache>
                <c:ptCount val="1"/>
                <c:pt idx="0">
                  <c:v>T^2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4-PHASE I'!$H$4:$H$34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I'!$I$4:$I$34</c:f>
              <c:numCache>
                <c:formatCode>General</c:formatCode>
                <c:ptCount val="31"/>
                <c:pt idx="0">
                  <c:v>1.1332743312493636</c:v>
                </c:pt>
                <c:pt idx="1">
                  <c:v>4.7689052992493988</c:v>
                </c:pt>
                <c:pt idx="2">
                  <c:v>7.5151643284270868</c:v>
                </c:pt>
                <c:pt idx="3">
                  <c:v>7.544786071173208</c:v>
                </c:pt>
                <c:pt idx="4">
                  <c:v>5.3872473937194503</c:v>
                </c:pt>
                <c:pt idx="5">
                  <c:v>4.6655244444463984</c:v>
                </c:pt>
                <c:pt idx="6">
                  <c:v>3.2800892656317453</c:v>
                </c:pt>
                <c:pt idx="7">
                  <c:v>2.8492687318688112</c:v>
                </c:pt>
                <c:pt idx="8">
                  <c:v>5.4590153037738691</c:v>
                </c:pt>
                <c:pt idx="9">
                  <c:v>5.5595336610650214</c:v>
                </c:pt>
                <c:pt idx="10">
                  <c:v>2.9464273616468639</c:v>
                </c:pt>
                <c:pt idx="11">
                  <c:v>6.3070492225487875</c:v>
                </c:pt>
                <c:pt idx="12">
                  <c:v>5.02888373773661</c:v>
                </c:pt>
                <c:pt idx="13">
                  <c:v>3.6942904245357453</c:v>
                </c:pt>
                <c:pt idx="14">
                  <c:v>0.89808866100303786</c:v>
                </c:pt>
                <c:pt idx="15">
                  <c:v>3.3698036215258411</c:v>
                </c:pt>
                <c:pt idx="16">
                  <c:v>4.0901584708281646</c:v>
                </c:pt>
                <c:pt idx="17">
                  <c:v>4.132854434410504</c:v>
                </c:pt>
                <c:pt idx="18">
                  <c:v>5.0098050046208966</c:v>
                </c:pt>
                <c:pt idx="19">
                  <c:v>4.2246771353623176</c:v>
                </c:pt>
                <c:pt idx="20">
                  <c:v>3.1636534661464615</c:v>
                </c:pt>
                <c:pt idx="21">
                  <c:v>2.4544634824558655</c:v>
                </c:pt>
                <c:pt idx="22">
                  <c:v>6.4736851919461698</c:v>
                </c:pt>
                <c:pt idx="23">
                  <c:v>3.2530112012042127</c:v>
                </c:pt>
                <c:pt idx="24">
                  <c:v>7.8263529730636501</c:v>
                </c:pt>
                <c:pt idx="25">
                  <c:v>10.288901011551864</c:v>
                </c:pt>
                <c:pt idx="26">
                  <c:v>0.88390422908589927</c:v>
                </c:pt>
                <c:pt idx="27">
                  <c:v>5.5708209106024773</c:v>
                </c:pt>
                <c:pt idx="28">
                  <c:v>8.6373607320887853</c:v>
                </c:pt>
                <c:pt idx="29">
                  <c:v>7.5034779775193421</c:v>
                </c:pt>
                <c:pt idx="30">
                  <c:v>6.06756989191447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8F-4777-846D-ED8B5153961C}"/>
            </c:ext>
          </c:extLst>
        </c:ser>
        <c:ser>
          <c:idx val="1"/>
          <c:order val="1"/>
          <c:tx>
            <c:strRef>
              <c:f>'STEP 4-PHASE I'!$J$3</c:f>
              <c:strCache>
                <c:ptCount val="1"/>
                <c:pt idx="0">
                  <c:v>Control limit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4-PHASE I'!$H$4:$H$34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I'!$J$4:$J$34</c:f>
              <c:numCache>
                <c:formatCode>General</c:formatCode>
                <c:ptCount val="31"/>
                <c:pt idx="0">
                  <c:v>22.038460000000001</c:v>
                </c:pt>
                <c:pt idx="1">
                  <c:v>22.038460000000001</c:v>
                </c:pt>
                <c:pt idx="2">
                  <c:v>22.038460000000001</c:v>
                </c:pt>
                <c:pt idx="3">
                  <c:v>22.038460000000001</c:v>
                </c:pt>
                <c:pt idx="4">
                  <c:v>22.038460000000001</c:v>
                </c:pt>
                <c:pt idx="5">
                  <c:v>22.038460000000001</c:v>
                </c:pt>
                <c:pt idx="6">
                  <c:v>22.038460000000001</c:v>
                </c:pt>
                <c:pt idx="7">
                  <c:v>22.038460000000001</c:v>
                </c:pt>
                <c:pt idx="8">
                  <c:v>22.038460000000001</c:v>
                </c:pt>
                <c:pt idx="9">
                  <c:v>22.038460000000001</c:v>
                </c:pt>
                <c:pt idx="10">
                  <c:v>22.038460000000001</c:v>
                </c:pt>
                <c:pt idx="11">
                  <c:v>22.038460000000001</c:v>
                </c:pt>
                <c:pt idx="12">
                  <c:v>22.038460000000001</c:v>
                </c:pt>
                <c:pt idx="13">
                  <c:v>22.038460000000001</c:v>
                </c:pt>
                <c:pt idx="14">
                  <c:v>22.038460000000001</c:v>
                </c:pt>
                <c:pt idx="15">
                  <c:v>22.038460000000001</c:v>
                </c:pt>
                <c:pt idx="16">
                  <c:v>22.038460000000001</c:v>
                </c:pt>
                <c:pt idx="17">
                  <c:v>22.038460000000001</c:v>
                </c:pt>
                <c:pt idx="18">
                  <c:v>22.038460000000001</c:v>
                </c:pt>
                <c:pt idx="19">
                  <c:v>22.038460000000001</c:v>
                </c:pt>
                <c:pt idx="20">
                  <c:v>22.038460000000001</c:v>
                </c:pt>
                <c:pt idx="21">
                  <c:v>22.038460000000001</c:v>
                </c:pt>
                <c:pt idx="22">
                  <c:v>22.038460000000001</c:v>
                </c:pt>
                <c:pt idx="23">
                  <c:v>22.038460000000001</c:v>
                </c:pt>
                <c:pt idx="24">
                  <c:v>22.038460000000001</c:v>
                </c:pt>
                <c:pt idx="25">
                  <c:v>22.038460000000001</c:v>
                </c:pt>
                <c:pt idx="26">
                  <c:v>22.038460000000001</c:v>
                </c:pt>
                <c:pt idx="27">
                  <c:v>22.038460000000001</c:v>
                </c:pt>
                <c:pt idx="28">
                  <c:v>22.038460000000001</c:v>
                </c:pt>
                <c:pt idx="29">
                  <c:v>22.038460000000001</c:v>
                </c:pt>
                <c:pt idx="30">
                  <c:v>22.038460000000001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8F-4777-846D-ED8B5153961C}"/>
            </c:ext>
          </c:extLst>
        </c:ser>
        <c:ser>
          <c:idx val="2"/>
          <c:order val="2"/>
          <c:tx>
            <c:strRef>
              <c:f>'STEP 4-PHASE I'!$K$3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4-PHASE I'!$H$4:$H$34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I'!$K$4:$K$34</c:f>
              <c:numCache>
                <c:formatCode>General</c:formatCode>
                <c:ptCount val="31"/>
                <c:pt idx="0">
                  <c:v>14.942310000000001</c:v>
                </c:pt>
                <c:pt idx="1">
                  <c:v>14.942310000000001</c:v>
                </c:pt>
                <c:pt idx="2">
                  <c:v>14.942310000000001</c:v>
                </c:pt>
                <c:pt idx="3">
                  <c:v>14.942310000000001</c:v>
                </c:pt>
                <c:pt idx="4">
                  <c:v>14.942310000000001</c:v>
                </c:pt>
                <c:pt idx="5">
                  <c:v>14.942310000000001</c:v>
                </c:pt>
                <c:pt idx="6">
                  <c:v>14.942310000000001</c:v>
                </c:pt>
                <c:pt idx="7">
                  <c:v>14.942310000000001</c:v>
                </c:pt>
                <c:pt idx="8">
                  <c:v>14.942310000000001</c:v>
                </c:pt>
                <c:pt idx="9">
                  <c:v>14.942310000000001</c:v>
                </c:pt>
                <c:pt idx="10">
                  <c:v>14.942310000000001</c:v>
                </c:pt>
                <c:pt idx="11">
                  <c:v>14.942310000000001</c:v>
                </c:pt>
                <c:pt idx="12">
                  <c:v>14.942310000000001</c:v>
                </c:pt>
                <c:pt idx="13">
                  <c:v>14.942310000000001</c:v>
                </c:pt>
                <c:pt idx="14">
                  <c:v>14.942310000000001</c:v>
                </c:pt>
                <c:pt idx="15">
                  <c:v>14.942310000000001</c:v>
                </c:pt>
                <c:pt idx="16">
                  <c:v>14.942310000000001</c:v>
                </c:pt>
                <c:pt idx="17">
                  <c:v>14.942310000000001</c:v>
                </c:pt>
                <c:pt idx="18">
                  <c:v>14.942310000000001</c:v>
                </c:pt>
                <c:pt idx="19">
                  <c:v>14.942310000000001</c:v>
                </c:pt>
                <c:pt idx="20">
                  <c:v>14.942310000000001</c:v>
                </c:pt>
                <c:pt idx="21">
                  <c:v>14.942310000000001</c:v>
                </c:pt>
                <c:pt idx="22">
                  <c:v>14.942310000000001</c:v>
                </c:pt>
                <c:pt idx="23">
                  <c:v>14.942310000000001</c:v>
                </c:pt>
                <c:pt idx="24">
                  <c:v>14.942310000000001</c:v>
                </c:pt>
                <c:pt idx="25">
                  <c:v>14.942310000000001</c:v>
                </c:pt>
                <c:pt idx="26">
                  <c:v>14.942310000000001</c:v>
                </c:pt>
                <c:pt idx="27">
                  <c:v>14.942310000000001</c:v>
                </c:pt>
                <c:pt idx="28">
                  <c:v>14.942310000000001</c:v>
                </c:pt>
                <c:pt idx="29">
                  <c:v>14.942310000000001</c:v>
                </c:pt>
                <c:pt idx="30">
                  <c:v>14.942310000000001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8F-4777-846D-ED8B51539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173647"/>
        <c:axId val="1759174063"/>
      </c:scatterChart>
      <c:valAx>
        <c:axId val="17591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4063"/>
        <c:crosses val="autoZero"/>
        <c:crossBetween val="midCat"/>
      </c:valAx>
      <c:valAx>
        <c:axId val="17591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T^2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4-PHASE I'!$I$43</c:f>
              <c:strCache>
                <c:ptCount val="1"/>
                <c:pt idx="0">
                  <c:v>SPE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4-PHASE I'!$H$44:$H$74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I'!$I$44:$I$74</c:f>
              <c:numCache>
                <c:formatCode>General</c:formatCode>
                <c:ptCount val="31"/>
                <c:pt idx="0">
                  <c:v>3.4846801825839067</c:v>
                </c:pt>
                <c:pt idx="1">
                  <c:v>1.4137498727697373</c:v>
                </c:pt>
                <c:pt idx="2">
                  <c:v>3.2658043159394574</c:v>
                </c:pt>
                <c:pt idx="3">
                  <c:v>0.91614336321063194</c:v>
                </c:pt>
                <c:pt idx="4">
                  <c:v>1.3123519668330355</c:v>
                </c:pt>
                <c:pt idx="5">
                  <c:v>3.7592696050267866</c:v>
                </c:pt>
                <c:pt idx="6">
                  <c:v>4.3367361893156238</c:v>
                </c:pt>
                <c:pt idx="7">
                  <c:v>1.7751301733399572</c:v>
                </c:pt>
                <c:pt idx="8">
                  <c:v>0.99513189305029648</c:v>
                </c:pt>
                <c:pt idx="9">
                  <c:v>3.7150415561695018</c:v>
                </c:pt>
                <c:pt idx="10">
                  <c:v>3.0485948363768332</c:v>
                </c:pt>
                <c:pt idx="11">
                  <c:v>1.1122984471899924</c:v>
                </c:pt>
                <c:pt idx="12">
                  <c:v>1.5232157450478436</c:v>
                </c:pt>
                <c:pt idx="13">
                  <c:v>3.1503344444636303</c:v>
                </c:pt>
                <c:pt idx="14">
                  <c:v>2.3288924648217142</c:v>
                </c:pt>
                <c:pt idx="15">
                  <c:v>10.750551070267047</c:v>
                </c:pt>
                <c:pt idx="16">
                  <c:v>0.77003366435064402</c:v>
                </c:pt>
                <c:pt idx="17">
                  <c:v>4.893943584360791</c:v>
                </c:pt>
                <c:pt idx="18">
                  <c:v>1.0754007690467411</c:v>
                </c:pt>
                <c:pt idx="19">
                  <c:v>3.4013837702894913</c:v>
                </c:pt>
                <c:pt idx="20">
                  <c:v>4.606555720133219</c:v>
                </c:pt>
                <c:pt idx="21">
                  <c:v>1.5720726161427019</c:v>
                </c:pt>
                <c:pt idx="22">
                  <c:v>2.0375560684658427</c:v>
                </c:pt>
                <c:pt idx="23">
                  <c:v>3.1680925790883117</c:v>
                </c:pt>
                <c:pt idx="24">
                  <c:v>0.32955065714930265</c:v>
                </c:pt>
                <c:pt idx="25">
                  <c:v>0.10037753739272477</c:v>
                </c:pt>
                <c:pt idx="26">
                  <c:v>2.398872333723856</c:v>
                </c:pt>
                <c:pt idx="27">
                  <c:v>1.094856587169337</c:v>
                </c:pt>
                <c:pt idx="28">
                  <c:v>3.4079549063715371</c:v>
                </c:pt>
                <c:pt idx="29">
                  <c:v>3.1518663879726097</c:v>
                </c:pt>
                <c:pt idx="30">
                  <c:v>2.4254104969023857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A9-40C3-8096-94E88449FA1D}"/>
            </c:ext>
          </c:extLst>
        </c:ser>
        <c:ser>
          <c:idx val="1"/>
          <c:order val="1"/>
          <c:tx>
            <c:strRef>
              <c:f>'STEP 4-PHASE I'!$J$43</c:f>
              <c:strCache>
                <c:ptCount val="1"/>
                <c:pt idx="0">
                  <c:v>Control limit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4-PHASE I'!$H$44:$H$74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I'!$J$44:$J$74</c:f>
              <c:numCache>
                <c:formatCode>General</c:formatCode>
                <c:ptCount val="31"/>
                <c:pt idx="0">
                  <c:v>11.53710051</c:v>
                </c:pt>
                <c:pt idx="1">
                  <c:v>11.53710051</c:v>
                </c:pt>
                <c:pt idx="2">
                  <c:v>11.53710051</c:v>
                </c:pt>
                <c:pt idx="3">
                  <c:v>11.53710051</c:v>
                </c:pt>
                <c:pt idx="4">
                  <c:v>11.53710051</c:v>
                </c:pt>
                <c:pt idx="5">
                  <c:v>11.53710051</c:v>
                </c:pt>
                <c:pt idx="6">
                  <c:v>11.53710051</c:v>
                </c:pt>
                <c:pt idx="7">
                  <c:v>11.53710051</c:v>
                </c:pt>
                <c:pt idx="8">
                  <c:v>11.53710051</c:v>
                </c:pt>
                <c:pt idx="9">
                  <c:v>11.53710051</c:v>
                </c:pt>
                <c:pt idx="10">
                  <c:v>11.53710051</c:v>
                </c:pt>
                <c:pt idx="11">
                  <c:v>11.53710051</c:v>
                </c:pt>
                <c:pt idx="12">
                  <c:v>11.53710051</c:v>
                </c:pt>
                <c:pt idx="13">
                  <c:v>11.53710051</c:v>
                </c:pt>
                <c:pt idx="14">
                  <c:v>11.53710051</c:v>
                </c:pt>
                <c:pt idx="15">
                  <c:v>11.53710051</c:v>
                </c:pt>
                <c:pt idx="16">
                  <c:v>11.53710051</c:v>
                </c:pt>
                <c:pt idx="17">
                  <c:v>11.53710051</c:v>
                </c:pt>
                <c:pt idx="18">
                  <c:v>11.53710051</c:v>
                </c:pt>
                <c:pt idx="19">
                  <c:v>11.53710051</c:v>
                </c:pt>
                <c:pt idx="20">
                  <c:v>11.53710051</c:v>
                </c:pt>
                <c:pt idx="21">
                  <c:v>11.53710051</c:v>
                </c:pt>
                <c:pt idx="22">
                  <c:v>11.53710051</c:v>
                </c:pt>
                <c:pt idx="23">
                  <c:v>11.53710051</c:v>
                </c:pt>
                <c:pt idx="24">
                  <c:v>11.53710051</c:v>
                </c:pt>
                <c:pt idx="25">
                  <c:v>11.53710051</c:v>
                </c:pt>
                <c:pt idx="26">
                  <c:v>11.53710051</c:v>
                </c:pt>
                <c:pt idx="27">
                  <c:v>11.53710051</c:v>
                </c:pt>
                <c:pt idx="28">
                  <c:v>11.53710051</c:v>
                </c:pt>
                <c:pt idx="29">
                  <c:v>11.53710051</c:v>
                </c:pt>
                <c:pt idx="30">
                  <c:v>11.53710051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A9-40C3-8096-94E88449FA1D}"/>
            </c:ext>
          </c:extLst>
        </c:ser>
        <c:ser>
          <c:idx val="2"/>
          <c:order val="2"/>
          <c:tx>
            <c:strRef>
              <c:f>'STEP 4-PHASE I'!$K$43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4-PHASE I'!$H$44:$H$74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4-PHASE I'!$K$44:$K$74</c:f>
              <c:numCache>
                <c:formatCode>General</c:formatCode>
                <c:ptCount val="31"/>
                <c:pt idx="0">
                  <c:v>11.146316799999999</c:v>
                </c:pt>
                <c:pt idx="1">
                  <c:v>11.146316799999999</c:v>
                </c:pt>
                <c:pt idx="2">
                  <c:v>11.146316799999999</c:v>
                </c:pt>
                <c:pt idx="3">
                  <c:v>11.146316799999999</c:v>
                </c:pt>
                <c:pt idx="4">
                  <c:v>11.146316799999999</c:v>
                </c:pt>
                <c:pt idx="5">
                  <c:v>11.146316799999999</c:v>
                </c:pt>
                <c:pt idx="6">
                  <c:v>11.146316799999999</c:v>
                </c:pt>
                <c:pt idx="7">
                  <c:v>11.146316799999999</c:v>
                </c:pt>
                <c:pt idx="8">
                  <c:v>11.146316799999999</c:v>
                </c:pt>
                <c:pt idx="9">
                  <c:v>11.146316799999999</c:v>
                </c:pt>
                <c:pt idx="10">
                  <c:v>11.146316799999999</c:v>
                </c:pt>
                <c:pt idx="11">
                  <c:v>11.146316799999999</c:v>
                </c:pt>
                <c:pt idx="12">
                  <c:v>11.146316799999999</c:v>
                </c:pt>
                <c:pt idx="13">
                  <c:v>11.146316799999999</c:v>
                </c:pt>
                <c:pt idx="14">
                  <c:v>11.146316799999999</c:v>
                </c:pt>
                <c:pt idx="15">
                  <c:v>11.146316799999999</c:v>
                </c:pt>
                <c:pt idx="16">
                  <c:v>11.146316799999999</c:v>
                </c:pt>
                <c:pt idx="17">
                  <c:v>11.146316799999999</c:v>
                </c:pt>
                <c:pt idx="18">
                  <c:v>11.146316799999999</c:v>
                </c:pt>
                <c:pt idx="19">
                  <c:v>11.146316799999999</c:v>
                </c:pt>
                <c:pt idx="20">
                  <c:v>11.146316799999999</c:v>
                </c:pt>
                <c:pt idx="21">
                  <c:v>11.146316799999999</c:v>
                </c:pt>
                <c:pt idx="22">
                  <c:v>11.146316799999999</c:v>
                </c:pt>
                <c:pt idx="23">
                  <c:v>11.146316799999999</c:v>
                </c:pt>
                <c:pt idx="24">
                  <c:v>11.146316799999999</c:v>
                </c:pt>
                <c:pt idx="25">
                  <c:v>11.146316799999999</c:v>
                </c:pt>
                <c:pt idx="26">
                  <c:v>11.146316799999999</c:v>
                </c:pt>
                <c:pt idx="27">
                  <c:v>11.146316799999999</c:v>
                </c:pt>
                <c:pt idx="28">
                  <c:v>11.146316799999999</c:v>
                </c:pt>
                <c:pt idx="29">
                  <c:v>11.146316799999999</c:v>
                </c:pt>
                <c:pt idx="30">
                  <c:v>11.146316799999999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A9-40C3-8096-94E88449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48191"/>
        <c:axId val="1747548607"/>
      </c:scatterChart>
      <c:valAx>
        <c:axId val="174754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607"/>
        <c:crosses val="autoZero"/>
        <c:crossBetween val="midCat"/>
      </c:valAx>
      <c:valAx>
        <c:axId val="17475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 V6 NOC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V6 NOC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'SPC1'!$F$4:$F$33</c:f>
              <c:numCache>
                <c:formatCode>0.000</c:formatCode>
                <c:ptCount val="30"/>
                <c:pt idx="0">
                  <c:v>299.04899999999998</c:v>
                </c:pt>
                <c:pt idx="1">
                  <c:v>298.2646666666667</c:v>
                </c:pt>
                <c:pt idx="2">
                  <c:v>300.24166666666662</c:v>
                </c:pt>
                <c:pt idx="3">
                  <c:v>299.8966666666667</c:v>
                </c:pt>
                <c:pt idx="4">
                  <c:v>300.291</c:v>
                </c:pt>
                <c:pt idx="5">
                  <c:v>299.61733333333336</c:v>
                </c:pt>
                <c:pt idx="6">
                  <c:v>299.52299999999997</c:v>
                </c:pt>
                <c:pt idx="7">
                  <c:v>301.423</c:v>
                </c:pt>
                <c:pt idx="8">
                  <c:v>299.63266666666664</c:v>
                </c:pt>
                <c:pt idx="9">
                  <c:v>299.48166666666663</c:v>
                </c:pt>
                <c:pt idx="10">
                  <c:v>299.40800000000002</c:v>
                </c:pt>
                <c:pt idx="11">
                  <c:v>300.44400000000002</c:v>
                </c:pt>
                <c:pt idx="12">
                  <c:v>300.60833333333335</c:v>
                </c:pt>
                <c:pt idx="13">
                  <c:v>300.33166666666671</c:v>
                </c:pt>
                <c:pt idx="14">
                  <c:v>299.44566666666668</c:v>
                </c:pt>
                <c:pt idx="15">
                  <c:v>299.69699999999995</c:v>
                </c:pt>
                <c:pt idx="16">
                  <c:v>299.17066666666665</c:v>
                </c:pt>
                <c:pt idx="17">
                  <c:v>298.77733333333327</c:v>
                </c:pt>
                <c:pt idx="18">
                  <c:v>300.05</c:v>
                </c:pt>
                <c:pt idx="19">
                  <c:v>300.86200000000002</c:v>
                </c:pt>
                <c:pt idx="20">
                  <c:v>300.69333333333333</c:v>
                </c:pt>
                <c:pt idx="21">
                  <c:v>300.62133333333333</c:v>
                </c:pt>
                <c:pt idx="22">
                  <c:v>298.80666666666667</c:v>
                </c:pt>
                <c:pt idx="23">
                  <c:v>300.87899999999996</c:v>
                </c:pt>
                <c:pt idx="24">
                  <c:v>299.28866666666664</c:v>
                </c:pt>
                <c:pt idx="25">
                  <c:v>300.45966666666669</c:v>
                </c:pt>
                <c:pt idx="26">
                  <c:v>298.99966666666666</c:v>
                </c:pt>
                <c:pt idx="27">
                  <c:v>300.34399999999999</c:v>
                </c:pt>
                <c:pt idx="28">
                  <c:v>299.43166666666667</c:v>
                </c:pt>
                <c:pt idx="29">
                  <c:v>299.51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E-402C-A135-0F143256303A}"/>
            </c:ext>
          </c:extLst>
        </c:ser>
        <c:ser>
          <c:idx val="1"/>
          <c:order val="1"/>
          <c:tx>
            <c:v>UCL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'SPC1'!$H$4:$H$33</c:f>
              <c:numCache>
                <c:formatCode>General</c:formatCode>
                <c:ptCount val="30"/>
                <c:pt idx="0">
                  <c:v>302.06563960589625</c:v>
                </c:pt>
                <c:pt idx="1">
                  <c:v>302.06563960589625</c:v>
                </c:pt>
                <c:pt idx="2">
                  <c:v>302.06563960589625</c:v>
                </c:pt>
                <c:pt idx="3">
                  <c:v>302.06563960589625</c:v>
                </c:pt>
                <c:pt idx="4">
                  <c:v>302.06563960589625</c:v>
                </c:pt>
                <c:pt idx="5">
                  <c:v>302.06563960589625</c:v>
                </c:pt>
                <c:pt idx="6">
                  <c:v>302.06563960589625</c:v>
                </c:pt>
                <c:pt idx="7">
                  <c:v>302.06563960589625</c:v>
                </c:pt>
                <c:pt idx="8">
                  <c:v>302.06563960589625</c:v>
                </c:pt>
                <c:pt idx="9">
                  <c:v>302.06563960589625</c:v>
                </c:pt>
                <c:pt idx="10">
                  <c:v>302.06563960589625</c:v>
                </c:pt>
                <c:pt idx="11">
                  <c:v>302.06563960589625</c:v>
                </c:pt>
                <c:pt idx="12">
                  <c:v>302.06563960589625</c:v>
                </c:pt>
                <c:pt idx="13">
                  <c:v>302.06563960589625</c:v>
                </c:pt>
                <c:pt idx="14">
                  <c:v>302.06563960589625</c:v>
                </c:pt>
                <c:pt idx="15">
                  <c:v>302.06563960589625</c:v>
                </c:pt>
                <c:pt idx="16">
                  <c:v>302.06563960589625</c:v>
                </c:pt>
                <c:pt idx="17">
                  <c:v>302.06563960589625</c:v>
                </c:pt>
                <c:pt idx="18">
                  <c:v>302.06563960589625</c:v>
                </c:pt>
                <c:pt idx="19">
                  <c:v>302.06563960589625</c:v>
                </c:pt>
                <c:pt idx="20">
                  <c:v>302.06563960589625</c:v>
                </c:pt>
                <c:pt idx="21">
                  <c:v>302.06563960589625</c:v>
                </c:pt>
                <c:pt idx="22">
                  <c:v>302.06563960589625</c:v>
                </c:pt>
                <c:pt idx="23">
                  <c:v>302.06563960589625</c:v>
                </c:pt>
                <c:pt idx="24">
                  <c:v>302.06563960589625</c:v>
                </c:pt>
                <c:pt idx="25">
                  <c:v>302.06563960589625</c:v>
                </c:pt>
                <c:pt idx="26">
                  <c:v>302.06563960589625</c:v>
                </c:pt>
                <c:pt idx="27">
                  <c:v>302.06563960589625</c:v>
                </c:pt>
                <c:pt idx="28">
                  <c:v>302.06563960589625</c:v>
                </c:pt>
                <c:pt idx="29">
                  <c:v>302.06563960589625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DE-402C-A135-0F143256303A}"/>
            </c:ext>
          </c:extLst>
        </c:ser>
        <c:ser>
          <c:idx val="2"/>
          <c:order val="2"/>
          <c:tx>
            <c:v>LCL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'SPC1'!$I$4:$I$33</c:f>
              <c:numCache>
                <c:formatCode>General</c:formatCode>
                <c:ptCount val="30"/>
                <c:pt idx="0">
                  <c:v>297.61764928299266</c:v>
                </c:pt>
                <c:pt idx="1">
                  <c:v>297.61764928299266</c:v>
                </c:pt>
                <c:pt idx="2">
                  <c:v>297.61764928299266</c:v>
                </c:pt>
                <c:pt idx="3">
                  <c:v>297.61764928299266</c:v>
                </c:pt>
                <c:pt idx="4">
                  <c:v>297.61764928299266</c:v>
                </c:pt>
                <c:pt idx="5">
                  <c:v>297.61764928299266</c:v>
                </c:pt>
                <c:pt idx="6">
                  <c:v>297.61764928299266</c:v>
                </c:pt>
                <c:pt idx="7">
                  <c:v>297.61764928299266</c:v>
                </c:pt>
                <c:pt idx="8">
                  <c:v>297.61764928299266</c:v>
                </c:pt>
                <c:pt idx="9">
                  <c:v>297.61764928299266</c:v>
                </c:pt>
                <c:pt idx="10">
                  <c:v>297.61764928299266</c:v>
                </c:pt>
                <c:pt idx="11">
                  <c:v>297.61764928299266</c:v>
                </c:pt>
                <c:pt idx="12">
                  <c:v>297.61764928299266</c:v>
                </c:pt>
                <c:pt idx="13">
                  <c:v>297.61764928299266</c:v>
                </c:pt>
                <c:pt idx="14">
                  <c:v>297.61764928299266</c:v>
                </c:pt>
                <c:pt idx="15">
                  <c:v>297.61764928299266</c:v>
                </c:pt>
                <c:pt idx="16">
                  <c:v>297.61764928299266</c:v>
                </c:pt>
                <c:pt idx="17">
                  <c:v>297.61764928299266</c:v>
                </c:pt>
                <c:pt idx="18">
                  <c:v>297.61764928299266</c:v>
                </c:pt>
                <c:pt idx="19">
                  <c:v>297.61764928299266</c:v>
                </c:pt>
                <c:pt idx="20">
                  <c:v>297.61764928299266</c:v>
                </c:pt>
                <c:pt idx="21">
                  <c:v>297.61764928299266</c:v>
                </c:pt>
                <c:pt idx="22">
                  <c:v>297.61764928299266</c:v>
                </c:pt>
                <c:pt idx="23">
                  <c:v>297.61764928299266</c:v>
                </c:pt>
                <c:pt idx="24">
                  <c:v>297.61764928299266</c:v>
                </c:pt>
                <c:pt idx="25">
                  <c:v>297.61764928299266</c:v>
                </c:pt>
                <c:pt idx="26">
                  <c:v>297.61764928299266</c:v>
                </c:pt>
                <c:pt idx="27">
                  <c:v>297.61764928299266</c:v>
                </c:pt>
                <c:pt idx="28">
                  <c:v>297.61764928299266</c:v>
                </c:pt>
                <c:pt idx="29">
                  <c:v>297.61764928299266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DE-402C-A135-0F1432563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6015"/>
        <c:axId val="276180159"/>
      </c:lineChart>
      <c:catAx>
        <c:axId val="276166015"/>
        <c:scaling>
          <c:orientation val="minMax"/>
        </c:scaling>
        <c:delete val="1"/>
        <c:axPos val="b"/>
        <c:majorTickMark val="none"/>
        <c:minorTickMark val="none"/>
        <c:tickLblPos val="nextTo"/>
        <c:crossAx val="276180159"/>
        <c:crosses val="autoZero"/>
        <c:auto val="1"/>
        <c:lblAlgn val="ctr"/>
        <c:lblOffset val="100"/>
        <c:noMultiLvlLbl val="0"/>
      </c:catAx>
      <c:valAx>
        <c:axId val="27618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6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R-CHART V6 NOC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V6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'SPC1'!$G$4:$G$33</c:f>
              <c:numCache>
                <c:formatCode>0.000</c:formatCode>
                <c:ptCount val="30"/>
                <c:pt idx="0">
                  <c:v>0.68899999999996453</c:v>
                </c:pt>
                <c:pt idx="1">
                  <c:v>0.85599999999999454</c:v>
                </c:pt>
                <c:pt idx="2">
                  <c:v>3.3290000000000077</c:v>
                </c:pt>
                <c:pt idx="3">
                  <c:v>3.0459999999999923</c:v>
                </c:pt>
                <c:pt idx="4">
                  <c:v>0.76699999999999591</c:v>
                </c:pt>
                <c:pt idx="5">
                  <c:v>0.72500000000002274</c:v>
                </c:pt>
                <c:pt idx="6">
                  <c:v>1.19399999999996</c:v>
                </c:pt>
                <c:pt idx="7">
                  <c:v>1.2299999999999613</c:v>
                </c:pt>
                <c:pt idx="8">
                  <c:v>0.42000000000001592</c:v>
                </c:pt>
                <c:pt idx="9">
                  <c:v>4.5799999999999841</c:v>
                </c:pt>
                <c:pt idx="10">
                  <c:v>2.2420000000000186</c:v>
                </c:pt>
                <c:pt idx="11">
                  <c:v>5.7599999999999909</c:v>
                </c:pt>
                <c:pt idx="12">
                  <c:v>5.6059999999999945</c:v>
                </c:pt>
                <c:pt idx="13">
                  <c:v>1.6779999999999973</c:v>
                </c:pt>
                <c:pt idx="14">
                  <c:v>6.1709999999999923</c:v>
                </c:pt>
                <c:pt idx="15">
                  <c:v>2.7690000000000055</c:v>
                </c:pt>
                <c:pt idx="16">
                  <c:v>2.2340000000000373</c:v>
                </c:pt>
                <c:pt idx="17">
                  <c:v>2.0439999999999827</c:v>
                </c:pt>
                <c:pt idx="18">
                  <c:v>2.6599999999999682</c:v>
                </c:pt>
                <c:pt idx="19">
                  <c:v>3.6779999999999973</c:v>
                </c:pt>
                <c:pt idx="20">
                  <c:v>3.6119999999999663</c:v>
                </c:pt>
                <c:pt idx="21">
                  <c:v>1.7810000000000059</c:v>
                </c:pt>
                <c:pt idx="22">
                  <c:v>2.6730000000000018</c:v>
                </c:pt>
                <c:pt idx="23">
                  <c:v>1.7660000000000196</c:v>
                </c:pt>
                <c:pt idx="24">
                  <c:v>2.2560000000000286</c:v>
                </c:pt>
                <c:pt idx="25">
                  <c:v>1.1519999999999868</c:v>
                </c:pt>
                <c:pt idx="26">
                  <c:v>3.0100000000000477</c:v>
                </c:pt>
                <c:pt idx="27">
                  <c:v>4.9019999999999868</c:v>
                </c:pt>
                <c:pt idx="28">
                  <c:v>1.3910000000000196</c:v>
                </c:pt>
                <c:pt idx="29">
                  <c:v>2.9339999999999691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7-4123-88EC-C3520D8F0A59}"/>
            </c:ext>
          </c:extLst>
        </c:ser>
        <c:ser>
          <c:idx val="1"/>
          <c:order val="1"/>
          <c:tx>
            <c:v>UCL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'SPC1'!$J$4:$J$33</c:f>
              <c:numCache>
                <c:formatCode>General</c:formatCode>
                <c:ptCount val="30"/>
                <c:pt idx="0">
                  <c:v>6.6198989999999922</c:v>
                </c:pt>
                <c:pt idx="1">
                  <c:v>6.6198989999999922</c:v>
                </c:pt>
                <c:pt idx="2">
                  <c:v>6.6198989999999922</c:v>
                </c:pt>
                <c:pt idx="3">
                  <c:v>6.6198989999999922</c:v>
                </c:pt>
                <c:pt idx="4">
                  <c:v>6.6198989999999922</c:v>
                </c:pt>
                <c:pt idx="5">
                  <c:v>6.6198989999999922</c:v>
                </c:pt>
                <c:pt idx="6">
                  <c:v>6.6198989999999922</c:v>
                </c:pt>
                <c:pt idx="7">
                  <c:v>6.6198989999999922</c:v>
                </c:pt>
                <c:pt idx="8">
                  <c:v>6.6198989999999922</c:v>
                </c:pt>
                <c:pt idx="9">
                  <c:v>6.6198989999999922</c:v>
                </c:pt>
                <c:pt idx="10">
                  <c:v>6.6198989999999922</c:v>
                </c:pt>
                <c:pt idx="11">
                  <c:v>6.6198989999999922</c:v>
                </c:pt>
                <c:pt idx="12">
                  <c:v>6.6198989999999922</c:v>
                </c:pt>
                <c:pt idx="13">
                  <c:v>6.6198989999999922</c:v>
                </c:pt>
                <c:pt idx="14">
                  <c:v>6.6198989999999922</c:v>
                </c:pt>
                <c:pt idx="15">
                  <c:v>6.6198989999999922</c:v>
                </c:pt>
                <c:pt idx="16">
                  <c:v>6.6198989999999922</c:v>
                </c:pt>
                <c:pt idx="17">
                  <c:v>6.6198989999999922</c:v>
                </c:pt>
                <c:pt idx="18">
                  <c:v>6.6198989999999922</c:v>
                </c:pt>
                <c:pt idx="19">
                  <c:v>6.6198989999999922</c:v>
                </c:pt>
                <c:pt idx="20">
                  <c:v>6.6198989999999922</c:v>
                </c:pt>
                <c:pt idx="21">
                  <c:v>6.6198989999999922</c:v>
                </c:pt>
                <c:pt idx="22">
                  <c:v>6.6198989999999922</c:v>
                </c:pt>
                <c:pt idx="23">
                  <c:v>6.6198989999999922</c:v>
                </c:pt>
                <c:pt idx="24">
                  <c:v>6.6198989999999922</c:v>
                </c:pt>
                <c:pt idx="25">
                  <c:v>6.6198989999999922</c:v>
                </c:pt>
                <c:pt idx="26">
                  <c:v>6.6198989999999922</c:v>
                </c:pt>
                <c:pt idx="27">
                  <c:v>6.6198989999999922</c:v>
                </c:pt>
                <c:pt idx="28">
                  <c:v>6.6198989999999922</c:v>
                </c:pt>
                <c:pt idx="29">
                  <c:v>6.6198989999999922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7-4123-88EC-C3520D8F0A59}"/>
            </c:ext>
          </c:extLst>
        </c:ser>
        <c:ser>
          <c:idx val="2"/>
          <c:order val="2"/>
          <c:tx>
            <c:v>LCL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'SPC1'!$K$4:$K$33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7-4123-88EC-C3520D8F0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89727"/>
        <c:axId val="387386815"/>
      </c:lineChart>
      <c:catAx>
        <c:axId val="38738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6815"/>
        <c:crosses val="autoZero"/>
        <c:auto val="1"/>
        <c:lblAlgn val="ctr"/>
        <c:lblOffset val="100"/>
        <c:noMultiLvlLbl val="0"/>
      </c:catAx>
      <c:valAx>
        <c:axId val="38738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 V6 NOC1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V6 NOC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'SPC2'!$C$3:$C$32</c:f>
              <c:numCache>
                <c:formatCode>General</c:formatCode>
                <c:ptCount val="30"/>
                <c:pt idx="0">
                  <c:v>299.35899999999998</c:v>
                </c:pt>
                <c:pt idx="1">
                  <c:v>298.68200000000002</c:v>
                </c:pt>
                <c:pt idx="2">
                  <c:v>300.55799999999999</c:v>
                </c:pt>
                <c:pt idx="3">
                  <c:v>298.96600000000001</c:v>
                </c:pt>
                <c:pt idx="4">
                  <c:v>300.142</c:v>
                </c:pt>
                <c:pt idx="5">
                  <c:v>299.274</c:v>
                </c:pt>
                <c:pt idx="6">
                  <c:v>300.08499999999998</c:v>
                </c:pt>
                <c:pt idx="7">
                  <c:v>301.74700000000001</c:v>
                </c:pt>
                <c:pt idx="8">
                  <c:v>299.45400000000001</c:v>
                </c:pt>
                <c:pt idx="9">
                  <c:v>299.28899999999999</c:v>
                </c:pt>
                <c:pt idx="10">
                  <c:v>299.33600000000001</c:v>
                </c:pt>
                <c:pt idx="11">
                  <c:v>297.58800000000002</c:v>
                </c:pt>
                <c:pt idx="12">
                  <c:v>303.55799999999999</c:v>
                </c:pt>
                <c:pt idx="13">
                  <c:v>300.44900000000001</c:v>
                </c:pt>
                <c:pt idx="14">
                  <c:v>303.02100000000002</c:v>
                </c:pt>
                <c:pt idx="15">
                  <c:v>301.46199999999999</c:v>
                </c:pt>
                <c:pt idx="16">
                  <c:v>300.43900000000002</c:v>
                </c:pt>
                <c:pt idx="17">
                  <c:v>298.75599999999997</c:v>
                </c:pt>
                <c:pt idx="18">
                  <c:v>298.40100000000001</c:v>
                </c:pt>
                <c:pt idx="19">
                  <c:v>303.05099999999999</c:v>
                </c:pt>
                <c:pt idx="20">
                  <c:v>298.42700000000002</c:v>
                </c:pt>
                <c:pt idx="21">
                  <c:v>301.64400000000001</c:v>
                </c:pt>
                <c:pt idx="22">
                  <c:v>298.23899999999998</c:v>
                </c:pt>
                <c:pt idx="23">
                  <c:v>300.447</c:v>
                </c:pt>
                <c:pt idx="24">
                  <c:v>298.029</c:v>
                </c:pt>
                <c:pt idx="25">
                  <c:v>300.935</c:v>
                </c:pt>
                <c:pt idx="26">
                  <c:v>298.13099999999997</c:v>
                </c:pt>
                <c:pt idx="27">
                  <c:v>301.55399999999997</c:v>
                </c:pt>
                <c:pt idx="28">
                  <c:v>300.24400000000003</c:v>
                </c:pt>
                <c:pt idx="29">
                  <c:v>297.56900000000002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4-4E41-901F-66A4EA76337A}"/>
            </c:ext>
          </c:extLst>
        </c:ser>
        <c:ser>
          <c:idx val="1"/>
          <c:order val="1"/>
          <c:tx>
            <c:v>UCL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'SPC2'!$E$3:$E$32</c:f>
              <c:numCache>
                <c:formatCode>0.000</c:formatCode>
                <c:ptCount val="30"/>
                <c:pt idx="0">
                  <c:v>304.8495165115653</c:v>
                </c:pt>
                <c:pt idx="1">
                  <c:v>304.8495165115653</c:v>
                </c:pt>
                <c:pt idx="2">
                  <c:v>304.8495165115653</c:v>
                </c:pt>
                <c:pt idx="3">
                  <c:v>304.8495165115653</c:v>
                </c:pt>
                <c:pt idx="4">
                  <c:v>304.8495165115653</c:v>
                </c:pt>
                <c:pt idx="5">
                  <c:v>304.8495165115653</c:v>
                </c:pt>
                <c:pt idx="6">
                  <c:v>304.8495165115653</c:v>
                </c:pt>
                <c:pt idx="7">
                  <c:v>304.8495165115653</c:v>
                </c:pt>
                <c:pt idx="8">
                  <c:v>304.8495165115653</c:v>
                </c:pt>
                <c:pt idx="9">
                  <c:v>304.8495165115653</c:v>
                </c:pt>
                <c:pt idx="10">
                  <c:v>304.8495165115653</c:v>
                </c:pt>
                <c:pt idx="11">
                  <c:v>304.8495165115653</c:v>
                </c:pt>
                <c:pt idx="12">
                  <c:v>304.8495165115653</c:v>
                </c:pt>
                <c:pt idx="13">
                  <c:v>304.8495165115653</c:v>
                </c:pt>
                <c:pt idx="14">
                  <c:v>304.8495165115653</c:v>
                </c:pt>
                <c:pt idx="15">
                  <c:v>304.8495165115653</c:v>
                </c:pt>
                <c:pt idx="16">
                  <c:v>304.8495165115653</c:v>
                </c:pt>
                <c:pt idx="17">
                  <c:v>304.8495165115653</c:v>
                </c:pt>
                <c:pt idx="18">
                  <c:v>304.8495165115653</c:v>
                </c:pt>
                <c:pt idx="19">
                  <c:v>304.8495165115653</c:v>
                </c:pt>
                <c:pt idx="20">
                  <c:v>304.8495165115653</c:v>
                </c:pt>
                <c:pt idx="21">
                  <c:v>304.8495165115653</c:v>
                </c:pt>
                <c:pt idx="22">
                  <c:v>304.8495165115653</c:v>
                </c:pt>
                <c:pt idx="23">
                  <c:v>304.8495165115653</c:v>
                </c:pt>
                <c:pt idx="24">
                  <c:v>304.8495165115653</c:v>
                </c:pt>
                <c:pt idx="25">
                  <c:v>304.8495165115653</c:v>
                </c:pt>
                <c:pt idx="26">
                  <c:v>304.8495165115653</c:v>
                </c:pt>
                <c:pt idx="27">
                  <c:v>304.8495165115653</c:v>
                </c:pt>
                <c:pt idx="28">
                  <c:v>304.8495165115653</c:v>
                </c:pt>
                <c:pt idx="29">
                  <c:v>304.8495165115653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4-4E41-901F-66A4EA76337A}"/>
            </c:ext>
          </c:extLst>
        </c:ser>
        <c:ser>
          <c:idx val="2"/>
          <c:order val="2"/>
          <c:tx>
            <c:v>LCL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'SPC2'!$F$3:$F$32</c:f>
              <c:numCache>
                <c:formatCode>0.000</c:formatCode>
                <c:ptCount val="30"/>
                <c:pt idx="0">
                  <c:v>295.07288348843485</c:v>
                </c:pt>
                <c:pt idx="1">
                  <c:v>295.07288348843485</c:v>
                </c:pt>
                <c:pt idx="2">
                  <c:v>295.07288348843485</c:v>
                </c:pt>
                <c:pt idx="3">
                  <c:v>295.07288348843485</c:v>
                </c:pt>
                <c:pt idx="4">
                  <c:v>295.07288348843485</c:v>
                </c:pt>
                <c:pt idx="5">
                  <c:v>295.07288348843485</c:v>
                </c:pt>
                <c:pt idx="6">
                  <c:v>295.07288348843485</c:v>
                </c:pt>
                <c:pt idx="7">
                  <c:v>295.07288348843485</c:v>
                </c:pt>
                <c:pt idx="8">
                  <c:v>295.07288348843485</c:v>
                </c:pt>
                <c:pt idx="9">
                  <c:v>295.07288348843485</c:v>
                </c:pt>
                <c:pt idx="10">
                  <c:v>295.07288348843485</c:v>
                </c:pt>
                <c:pt idx="11">
                  <c:v>295.07288348843485</c:v>
                </c:pt>
                <c:pt idx="12">
                  <c:v>295.07288348843485</c:v>
                </c:pt>
                <c:pt idx="13">
                  <c:v>295.07288348843485</c:v>
                </c:pt>
                <c:pt idx="14">
                  <c:v>295.07288348843485</c:v>
                </c:pt>
                <c:pt idx="15">
                  <c:v>295.07288348843485</c:v>
                </c:pt>
                <c:pt idx="16">
                  <c:v>295.07288348843485</c:v>
                </c:pt>
                <c:pt idx="17">
                  <c:v>295.07288348843485</c:v>
                </c:pt>
                <c:pt idx="18">
                  <c:v>295.07288348843485</c:v>
                </c:pt>
                <c:pt idx="19">
                  <c:v>295.07288348843485</c:v>
                </c:pt>
                <c:pt idx="20">
                  <c:v>295.07288348843485</c:v>
                </c:pt>
                <c:pt idx="21">
                  <c:v>295.07288348843485</c:v>
                </c:pt>
                <c:pt idx="22">
                  <c:v>295.07288348843485</c:v>
                </c:pt>
                <c:pt idx="23">
                  <c:v>295.07288348843485</c:v>
                </c:pt>
                <c:pt idx="24">
                  <c:v>295.07288348843485</c:v>
                </c:pt>
                <c:pt idx="25">
                  <c:v>295.07288348843485</c:v>
                </c:pt>
                <c:pt idx="26">
                  <c:v>295.07288348843485</c:v>
                </c:pt>
                <c:pt idx="27">
                  <c:v>295.07288348843485</c:v>
                </c:pt>
                <c:pt idx="28">
                  <c:v>295.07288348843485</c:v>
                </c:pt>
                <c:pt idx="29">
                  <c:v>295.07288348843485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A4-4E41-901F-66A4EA76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51455"/>
        <c:axId val="276153951"/>
      </c:lineChart>
      <c:catAx>
        <c:axId val="276151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276153951"/>
        <c:crosses val="autoZero"/>
        <c:auto val="1"/>
        <c:lblAlgn val="ctr"/>
        <c:lblOffset val="100"/>
        <c:noMultiLvlLbl val="0"/>
      </c:catAx>
      <c:valAx>
        <c:axId val="27615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 V6 CASE1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V6 CASE1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'SPC2'!$D$3:$D$32</c:f>
              <c:numCache>
                <c:formatCode>General</c:formatCode>
                <c:ptCount val="3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E-4747-8226-ECFE1A284E52}"/>
            </c:ext>
          </c:extLst>
        </c:ser>
        <c:ser>
          <c:idx val="1"/>
          <c:order val="1"/>
          <c:tx>
            <c:v>UCL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'SPC2'!$E$3:$E$32</c:f>
              <c:numCache>
                <c:formatCode>0.000</c:formatCode>
                <c:ptCount val="30"/>
                <c:pt idx="0">
                  <c:v>304.8495165115653</c:v>
                </c:pt>
                <c:pt idx="1">
                  <c:v>304.8495165115653</c:v>
                </c:pt>
                <c:pt idx="2">
                  <c:v>304.8495165115653</c:v>
                </c:pt>
                <c:pt idx="3">
                  <c:v>304.8495165115653</c:v>
                </c:pt>
                <c:pt idx="4">
                  <c:v>304.8495165115653</c:v>
                </c:pt>
                <c:pt idx="5">
                  <c:v>304.8495165115653</c:v>
                </c:pt>
                <c:pt idx="6">
                  <c:v>304.8495165115653</c:v>
                </c:pt>
                <c:pt idx="7">
                  <c:v>304.8495165115653</c:v>
                </c:pt>
                <c:pt idx="8">
                  <c:v>304.8495165115653</c:v>
                </c:pt>
                <c:pt idx="9">
                  <c:v>304.8495165115653</c:v>
                </c:pt>
                <c:pt idx="10">
                  <c:v>304.8495165115653</c:v>
                </c:pt>
                <c:pt idx="11">
                  <c:v>304.8495165115653</c:v>
                </c:pt>
                <c:pt idx="12">
                  <c:v>304.8495165115653</c:v>
                </c:pt>
                <c:pt idx="13">
                  <c:v>304.8495165115653</c:v>
                </c:pt>
                <c:pt idx="14">
                  <c:v>304.8495165115653</c:v>
                </c:pt>
                <c:pt idx="15">
                  <c:v>304.8495165115653</c:v>
                </c:pt>
                <c:pt idx="16">
                  <c:v>304.8495165115653</c:v>
                </c:pt>
                <c:pt idx="17">
                  <c:v>304.8495165115653</c:v>
                </c:pt>
                <c:pt idx="18">
                  <c:v>304.8495165115653</c:v>
                </c:pt>
                <c:pt idx="19">
                  <c:v>304.8495165115653</c:v>
                </c:pt>
                <c:pt idx="20">
                  <c:v>304.8495165115653</c:v>
                </c:pt>
                <c:pt idx="21">
                  <c:v>304.8495165115653</c:v>
                </c:pt>
                <c:pt idx="22">
                  <c:v>304.8495165115653</c:v>
                </c:pt>
                <c:pt idx="23">
                  <c:v>304.8495165115653</c:v>
                </c:pt>
                <c:pt idx="24">
                  <c:v>304.8495165115653</c:v>
                </c:pt>
                <c:pt idx="25">
                  <c:v>304.8495165115653</c:v>
                </c:pt>
                <c:pt idx="26">
                  <c:v>304.8495165115653</c:v>
                </c:pt>
                <c:pt idx="27">
                  <c:v>304.8495165115653</c:v>
                </c:pt>
                <c:pt idx="28">
                  <c:v>304.8495165115653</c:v>
                </c:pt>
                <c:pt idx="29">
                  <c:v>304.8495165115653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E-4747-8226-ECFE1A284E52}"/>
            </c:ext>
          </c:extLst>
        </c:ser>
        <c:ser>
          <c:idx val="2"/>
          <c:order val="2"/>
          <c:tx>
            <c:v>LCL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'SPC2'!$F$3:$F$32</c:f>
              <c:numCache>
                <c:formatCode>0.000</c:formatCode>
                <c:ptCount val="30"/>
                <c:pt idx="0">
                  <c:v>295.07288348843485</c:v>
                </c:pt>
                <c:pt idx="1">
                  <c:v>295.07288348843485</c:v>
                </c:pt>
                <c:pt idx="2">
                  <c:v>295.07288348843485</c:v>
                </c:pt>
                <c:pt idx="3">
                  <c:v>295.07288348843485</c:v>
                </c:pt>
                <c:pt idx="4">
                  <c:v>295.07288348843485</c:v>
                </c:pt>
                <c:pt idx="5">
                  <c:v>295.07288348843485</c:v>
                </c:pt>
                <c:pt idx="6">
                  <c:v>295.07288348843485</c:v>
                </c:pt>
                <c:pt idx="7">
                  <c:v>295.07288348843485</c:v>
                </c:pt>
                <c:pt idx="8">
                  <c:v>295.07288348843485</c:v>
                </c:pt>
                <c:pt idx="9">
                  <c:v>295.07288348843485</c:v>
                </c:pt>
                <c:pt idx="10">
                  <c:v>295.07288348843485</c:v>
                </c:pt>
                <c:pt idx="11">
                  <c:v>295.07288348843485</c:v>
                </c:pt>
                <c:pt idx="12">
                  <c:v>295.07288348843485</c:v>
                </c:pt>
                <c:pt idx="13">
                  <c:v>295.07288348843485</c:v>
                </c:pt>
                <c:pt idx="14">
                  <c:v>295.07288348843485</c:v>
                </c:pt>
                <c:pt idx="15">
                  <c:v>295.07288348843485</c:v>
                </c:pt>
                <c:pt idx="16">
                  <c:v>295.07288348843485</c:v>
                </c:pt>
                <c:pt idx="17">
                  <c:v>295.07288348843485</c:v>
                </c:pt>
                <c:pt idx="18">
                  <c:v>295.07288348843485</c:v>
                </c:pt>
                <c:pt idx="19">
                  <c:v>295.07288348843485</c:v>
                </c:pt>
                <c:pt idx="20">
                  <c:v>295.07288348843485</c:v>
                </c:pt>
                <c:pt idx="21">
                  <c:v>295.07288348843485</c:v>
                </c:pt>
                <c:pt idx="22">
                  <c:v>295.07288348843485</c:v>
                </c:pt>
                <c:pt idx="23">
                  <c:v>295.07288348843485</c:v>
                </c:pt>
                <c:pt idx="24">
                  <c:v>295.07288348843485</c:v>
                </c:pt>
                <c:pt idx="25">
                  <c:v>295.07288348843485</c:v>
                </c:pt>
                <c:pt idx="26">
                  <c:v>295.07288348843485</c:v>
                </c:pt>
                <c:pt idx="27">
                  <c:v>295.07288348843485</c:v>
                </c:pt>
                <c:pt idx="28">
                  <c:v>295.07288348843485</c:v>
                </c:pt>
                <c:pt idx="29">
                  <c:v>295.07288348843485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E-4747-8226-ECFE1A28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8095"/>
        <c:axId val="276186399"/>
      </c:lineChart>
      <c:catAx>
        <c:axId val="276168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86399"/>
        <c:crosses val="autoZero"/>
        <c:auto val="1"/>
        <c:lblAlgn val="ctr"/>
        <c:lblOffset val="100"/>
        <c:noMultiLvlLbl val="0"/>
      </c:catAx>
      <c:valAx>
        <c:axId val="2761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6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387350</xdr:colOff>
          <xdr:row>3</xdr:row>
          <xdr:rowOff>69850</xdr:rowOff>
        </xdr:from>
        <xdr:to>
          <xdr:col>2</xdr:col>
          <xdr:colOff>463550</xdr:colOff>
          <xdr:row>5</xdr:row>
          <xdr:rowOff>101600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15240</xdr:colOff>
      <xdr:row>2</xdr:row>
      <xdr:rowOff>7620</xdr:rowOff>
    </xdr:from>
    <xdr:to>
      <xdr:col>25</xdr:col>
      <xdr:colOff>7620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37</xdr:row>
          <xdr:rowOff>139700</xdr:rowOff>
        </xdr:from>
        <xdr:to>
          <xdr:col>6</xdr:col>
          <xdr:colOff>152400</xdr:colOff>
          <xdr:row>40</xdr:row>
          <xdr:rowOff>177800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444500</xdr:colOff>
          <xdr:row>38</xdr:row>
          <xdr:rowOff>50800</xdr:rowOff>
        </xdr:from>
        <xdr:to>
          <xdr:col>8</xdr:col>
          <xdr:colOff>69850</xdr:colOff>
          <xdr:row>40</xdr:row>
          <xdr:rowOff>114300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152400</xdr:colOff>
      <xdr:row>43</xdr:row>
      <xdr:rowOff>22860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2133600" y="78867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AFF567-4738-4FB0-B922-C2294CDF160B}"/>
                </a:ext>
              </a:extLst>
            </xdr:cNvPr>
            <xdr:cNvSpPr txBox="1"/>
          </xdr:nvSpPr>
          <xdr:spPr>
            <a:xfrm>
              <a:off x="2133600" y="78867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MY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144780</xdr:colOff>
      <xdr:row>44</xdr:row>
      <xdr:rowOff>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2125980" y="804672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5A210C-CDBE-435B-BF85-E451B688BB4F}"/>
                </a:ext>
              </a:extLst>
            </xdr:cNvPr>
            <xdr:cNvSpPr txBox="1"/>
          </xdr:nvSpPr>
          <xdr:spPr>
            <a:xfrm>
              <a:off x="2125980" y="804672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44</xdr:row>
      <xdr:rowOff>167640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2133600" y="82143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3671F54-B761-4891-864F-27AC553B9004}"/>
                </a:ext>
              </a:extLst>
            </xdr:cNvPr>
            <xdr:cNvSpPr txBox="1"/>
          </xdr:nvSpPr>
          <xdr:spPr>
            <a:xfrm>
              <a:off x="2133600" y="82143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46</xdr:row>
      <xdr:rowOff>0</xdr:rowOff>
    </xdr:from>
    <xdr:ext cx="1754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2133600" y="841248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C42BDDC-210B-496A-A23B-762118A476AA}"/>
                </a:ext>
              </a:extLst>
            </xdr:cNvPr>
            <xdr:cNvSpPr txBox="1"/>
          </xdr:nvSpPr>
          <xdr:spPr>
            <a:xfrm>
              <a:off x="2133600" y="841248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60960</xdr:colOff>
      <xdr:row>47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2042160" y="859536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BC67E05-6548-4F99-9200-52C5D03DB7DE}"/>
                </a:ext>
              </a:extLst>
            </xdr:cNvPr>
            <xdr:cNvSpPr txBox="1"/>
          </xdr:nvSpPr>
          <xdr:spPr>
            <a:xfrm>
              <a:off x="2042160" y="859536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76200</xdr:colOff>
      <xdr:row>49</xdr:row>
      <xdr:rowOff>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2057400" y="8961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C485C5D-0CEF-4496-8927-CD3AC91D293C}"/>
                </a:ext>
              </a:extLst>
            </xdr:cNvPr>
            <xdr:cNvSpPr txBox="1"/>
          </xdr:nvSpPr>
          <xdr:spPr>
            <a:xfrm>
              <a:off x="2057400" y="8961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45720</xdr:colOff>
      <xdr:row>48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2026920" y="877824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C1D086B-39D8-4FFC-A96A-7A3361307411}"/>
                </a:ext>
              </a:extLst>
            </xdr:cNvPr>
            <xdr:cNvSpPr txBox="1"/>
          </xdr:nvSpPr>
          <xdr:spPr>
            <a:xfrm>
              <a:off x="2026920" y="877824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50</xdr:row>
      <xdr:rowOff>7620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2065020" y="91516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2D6F839-1986-4A6C-AF09-54D1459C25FE}"/>
                </a:ext>
              </a:extLst>
            </xdr:cNvPr>
            <xdr:cNvSpPr txBox="1"/>
          </xdr:nvSpPr>
          <xdr:spPr>
            <a:xfrm>
              <a:off x="2065020" y="91516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twoCellAnchor>
    <xdr:from>
      <xdr:col>12</xdr:col>
      <xdr:colOff>22860</xdr:colOff>
      <xdr:row>41</xdr:row>
      <xdr:rowOff>167640</xdr:rowOff>
    </xdr:from>
    <xdr:to>
      <xdr:col>25</xdr:col>
      <xdr:colOff>15240</xdr:colOff>
      <xdr:row>65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583406</xdr:colOff>
      <xdr:row>2</xdr:row>
      <xdr:rowOff>5556</xdr:rowOff>
    </xdr:from>
    <xdr:to>
      <xdr:col>19</xdr:col>
      <xdr:colOff>265906</xdr:colOff>
      <xdr:row>17</xdr:row>
      <xdr:rowOff>10319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591343</xdr:colOff>
      <xdr:row>17</xdr:row>
      <xdr:rowOff>100806</xdr:rowOff>
    </xdr:from>
    <xdr:to>
      <xdr:col>19</xdr:col>
      <xdr:colOff>273843</xdr:colOff>
      <xdr:row>32</xdr:row>
      <xdr:rowOff>105568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202406</xdr:colOff>
      <xdr:row>2</xdr:row>
      <xdr:rowOff>140493</xdr:rowOff>
    </xdr:from>
    <xdr:to>
      <xdr:col>15</xdr:col>
      <xdr:colOff>496093</xdr:colOff>
      <xdr:row>17</xdr:row>
      <xdr:rowOff>145255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218281</xdr:colOff>
      <xdr:row>19</xdr:row>
      <xdr:rowOff>13493</xdr:rowOff>
    </xdr:from>
    <xdr:to>
      <xdr:col>15</xdr:col>
      <xdr:colOff>511968</xdr:colOff>
      <xdr:row>34</xdr:row>
      <xdr:rowOff>18256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8D7D-6A30-44F6-887F-C4263BDB2719}">
  <dimension ref="A1:K74"/>
  <sheetViews>
    <sheetView topLeftCell="A28" zoomScale="80" zoomScaleNormal="80" workbookViewId="0">
      <selection activeCell="J44" sqref="J44"/>
    </sheetView>
  </sheetViews>
  <sheetFormatPr defaultRowHeight="14.5" x14ac:dyDescent="0.35"/>
  <cols>
    <col min="2" max="2" width="11.08984375" customWidth="1"/>
    <col min="4" max="4" width="7.453125" customWidth="1"/>
    <col min="5" max="5" width="12" customWidth="1"/>
    <col min="10" max="10" width="12.453125" customWidth="1"/>
    <col min="11" max="11" width="12.08984375" customWidth="1"/>
  </cols>
  <sheetData>
    <row r="1" spans="1:11" x14ac:dyDescent="0.35">
      <c r="A1" s="5" t="s">
        <v>4</v>
      </c>
    </row>
    <row r="3" spans="1:11" x14ac:dyDescent="0.35">
      <c r="E3" s="6" t="s">
        <v>8</v>
      </c>
      <c r="F3" s="3">
        <v>5</v>
      </c>
      <c r="H3" s="11" t="s">
        <v>15</v>
      </c>
      <c r="I3" s="11" t="s">
        <v>16</v>
      </c>
      <c r="J3" s="11" t="s">
        <v>17</v>
      </c>
      <c r="K3" s="11" t="s">
        <v>14</v>
      </c>
    </row>
    <row r="4" spans="1:11" x14ac:dyDescent="0.35">
      <c r="E4" s="6" t="s">
        <v>9</v>
      </c>
      <c r="F4" s="3">
        <v>31</v>
      </c>
      <c r="H4" s="6">
        <v>1</v>
      </c>
      <c r="I4" s="10">
        <v>1.1332743312493636</v>
      </c>
      <c r="J4" s="6">
        <v>22.038460000000001</v>
      </c>
      <c r="K4" s="6">
        <v>14.942310000000001</v>
      </c>
    </row>
    <row r="5" spans="1:11" x14ac:dyDescent="0.35">
      <c r="E5" s="6" t="s">
        <v>10</v>
      </c>
      <c r="F5" s="3" t="s">
        <v>11</v>
      </c>
      <c r="H5" s="6">
        <v>2</v>
      </c>
      <c r="I5" s="10">
        <v>4.7689052992493988</v>
      </c>
      <c r="J5" s="6">
        <v>22.038460000000001</v>
      </c>
      <c r="K5" s="6">
        <v>14.942310000000001</v>
      </c>
    </row>
    <row r="6" spans="1:11" x14ac:dyDescent="0.35">
      <c r="H6" s="6">
        <v>3</v>
      </c>
      <c r="I6" s="10">
        <v>7.5151643284270868</v>
      </c>
      <c r="J6" s="6">
        <v>22.038460000000001</v>
      </c>
      <c r="K6" s="6">
        <v>14.942310000000001</v>
      </c>
    </row>
    <row r="7" spans="1:11" x14ac:dyDescent="0.35">
      <c r="H7" s="6">
        <v>4</v>
      </c>
      <c r="I7" s="10">
        <v>7.544786071173208</v>
      </c>
      <c r="J7" s="6">
        <v>22.038460000000001</v>
      </c>
      <c r="K7" s="6">
        <v>14.942310000000001</v>
      </c>
    </row>
    <row r="8" spans="1:11" x14ac:dyDescent="0.35">
      <c r="B8" s="8" t="s">
        <v>5</v>
      </c>
      <c r="C8" s="8"/>
      <c r="E8" s="9" t="s">
        <v>12</v>
      </c>
      <c r="H8" s="6">
        <v>5</v>
      </c>
      <c r="I8" s="10">
        <v>5.3872473937194503</v>
      </c>
      <c r="J8" s="6">
        <v>22.038460000000001</v>
      </c>
      <c r="K8" s="6">
        <v>14.942310000000001</v>
      </c>
    </row>
    <row r="9" spans="1:11" x14ac:dyDescent="0.35">
      <c r="B9" s="7" t="s">
        <v>6</v>
      </c>
      <c r="C9" s="2">
        <v>2.59</v>
      </c>
      <c r="E9" s="6" t="s">
        <v>13</v>
      </c>
      <c r="F9" s="2">
        <f>(((5*30)/(31-5))*C10)</f>
        <v>22.038461538461537</v>
      </c>
      <c r="H9" s="6">
        <v>6</v>
      </c>
      <c r="I9" s="10">
        <v>4.6655244444463984</v>
      </c>
      <c r="J9" s="6">
        <v>22.038460000000001</v>
      </c>
      <c r="K9" s="6">
        <v>14.942310000000001</v>
      </c>
    </row>
    <row r="10" spans="1:11" x14ac:dyDescent="0.35">
      <c r="B10" s="7" t="s">
        <v>7</v>
      </c>
      <c r="C10" s="2">
        <v>3.82</v>
      </c>
      <c r="E10" s="6" t="s">
        <v>14</v>
      </c>
      <c r="F10" s="2">
        <f>(((5*30)/(31-5))*C9)</f>
        <v>14.942307692307692</v>
      </c>
      <c r="H10" s="6">
        <v>7</v>
      </c>
      <c r="I10" s="10">
        <v>3.2800892656317453</v>
      </c>
      <c r="J10" s="6">
        <v>22.038460000000001</v>
      </c>
      <c r="K10" s="6">
        <v>14.942310000000001</v>
      </c>
    </row>
    <row r="11" spans="1:11" x14ac:dyDescent="0.35">
      <c r="H11" s="6">
        <v>8</v>
      </c>
      <c r="I11" s="10">
        <v>2.8492687318688112</v>
      </c>
      <c r="J11" s="6">
        <v>22.038460000000001</v>
      </c>
      <c r="K11" s="6">
        <v>14.942310000000001</v>
      </c>
    </row>
    <row r="12" spans="1:11" x14ac:dyDescent="0.35">
      <c r="H12" s="6">
        <v>9</v>
      </c>
      <c r="I12" s="10">
        <v>5.4590153037738691</v>
      </c>
      <c r="J12" s="6">
        <v>22.038460000000001</v>
      </c>
      <c r="K12" s="6">
        <v>14.942310000000001</v>
      </c>
    </row>
    <row r="13" spans="1:11" x14ac:dyDescent="0.35">
      <c r="H13" s="6">
        <v>10</v>
      </c>
      <c r="I13" s="10">
        <v>5.5595336610650214</v>
      </c>
      <c r="J13" s="6">
        <v>22.038460000000001</v>
      </c>
      <c r="K13" s="6">
        <v>14.942310000000001</v>
      </c>
    </row>
    <row r="14" spans="1:11" x14ac:dyDescent="0.35">
      <c r="H14" s="6">
        <v>11</v>
      </c>
      <c r="I14" s="10">
        <v>2.9464273616468639</v>
      </c>
      <c r="J14" s="6">
        <v>22.038460000000001</v>
      </c>
      <c r="K14" s="6">
        <v>14.942310000000001</v>
      </c>
    </row>
    <row r="15" spans="1:11" x14ac:dyDescent="0.35">
      <c r="H15" s="6">
        <v>12</v>
      </c>
      <c r="I15" s="10">
        <v>6.3070492225487875</v>
      </c>
      <c r="J15" s="6">
        <v>22.038460000000001</v>
      </c>
      <c r="K15" s="6">
        <v>14.942310000000001</v>
      </c>
    </row>
    <row r="16" spans="1:11" x14ac:dyDescent="0.35">
      <c r="H16" s="6">
        <v>13</v>
      </c>
      <c r="I16" s="10">
        <v>5.02888373773661</v>
      </c>
      <c r="J16" s="6">
        <v>22.038460000000001</v>
      </c>
      <c r="K16" s="6">
        <v>14.942310000000001</v>
      </c>
    </row>
    <row r="17" spans="8:11" x14ac:dyDescent="0.35">
      <c r="H17" s="6">
        <v>14</v>
      </c>
      <c r="I17" s="10">
        <v>3.6942904245357453</v>
      </c>
      <c r="J17" s="6">
        <v>22.038460000000001</v>
      </c>
      <c r="K17" s="6">
        <v>14.942310000000001</v>
      </c>
    </row>
    <row r="18" spans="8:11" x14ac:dyDescent="0.35">
      <c r="H18" s="6">
        <v>15</v>
      </c>
      <c r="I18" s="10">
        <v>0.89808866100303786</v>
      </c>
      <c r="J18" s="6">
        <v>22.038460000000001</v>
      </c>
      <c r="K18" s="6">
        <v>14.942310000000001</v>
      </c>
    </row>
    <row r="19" spans="8:11" x14ac:dyDescent="0.35">
      <c r="H19" s="6">
        <v>16</v>
      </c>
      <c r="I19" s="10">
        <v>3.3698036215258411</v>
      </c>
      <c r="J19" s="6">
        <v>22.038460000000001</v>
      </c>
      <c r="K19" s="6">
        <v>14.942310000000001</v>
      </c>
    </row>
    <row r="20" spans="8:11" x14ac:dyDescent="0.35">
      <c r="H20" s="6">
        <v>17</v>
      </c>
      <c r="I20" s="10">
        <v>4.0901584708281646</v>
      </c>
      <c r="J20" s="6">
        <v>22.038460000000001</v>
      </c>
      <c r="K20" s="6">
        <v>14.942310000000001</v>
      </c>
    </row>
    <row r="21" spans="8:11" x14ac:dyDescent="0.35">
      <c r="H21" s="6">
        <v>18</v>
      </c>
      <c r="I21" s="10">
        <v>4.132854434410504</v>
      </c>
      <c r="J21" s="6">
        <v>22.038460000000001</v>
      </c>
      <c r="K21" s="6">
        <v>14.942310000000001</v>
      </c>
    </row>
    <row r="22" spans="8:11" x14ac:dyDescent="0.35">
      <c r="H22" s="6">
        <v>19</v>
      </c>
      <c r="I22" s="10">
        <v>5.0098050046208966</v>
      </c>
      <c r="J22" s="6">
        <v>22.038460000000001</v>
      </c>
      <c r="K22" s="6">
        <v>14.942310000000001</v>
      </c>
    </row>
    <row r="23" spans="8:11" x14ac:dyDescent="0.35">
      <c r="H23" s="6">
        <v>20</v>
      </c>
      <c r="I23" s="10">
        <v>4.2246771353623176</v>
      </c>
      <c r="J23" s="6">
        <v>22.038460000000001</v>
      </c>
      <c r="K23" s="6">
        <v>14.942310000000001</v>
      </c>
    </row>
    <row r="24" spans="8:11" x14ac:dyDescent="0.35">
      <c r="H24" s="6">
        <v>21</v>
      </c>
      <c r="I24" s="10">
        <v>3.1636534661464615</v>
      </c>
      <c r="J24" s="6">
        <v>22.038460000000001</v>
      </c>
      <c r="K24" s="6">
        <v>14.942310000000001</v>
      </c>
    </row>
    <row r="25" spans="8:11" x14ac:dyDescent="0.35">
      <c r="H25" s="6">
        <v>22</v>
      </c>
      <c r="I25" s="10">
        <v>2.4544634824558655</v>
      </c>
      <c r="J25" s="6">
        <v>22.038460000000001</v>
      </c>
      <c r="K25" s="6">
        <v>14.942310000000001</v>
      </c>
    </row>
    <row r="26" spans="8:11" x14ac:dyDescent="0.35">
      <c r="H26" s="6">
        <v>23</v>
      </c>
      <c r="I26" s="10">
        <v>6.4736851919461698</v>
      </c>
      <c r="J26" s="6">
        <v>22.038460000000001</v>
      </c>
      <c r="K26" s="6">
        <v>14.942310000000001</v>
      </c>
    </row>
    <row r="27" spans="8:11" x14ac:dyDescent="0.35">
      <c r="H27" s="6">
        <v>24</v>
      </c>
      <c r="I27" s="10">
        <v>3.2530112012042127</v>
      </c>
      <c r="J27" s="6">
        <v>22.038460000000001</v>
      </c>
      <c r="K27" s="6">
        <v>14.942310000000001</v>
      </c>
    </row>
    <row r="28" spans="8:11" x14ac:dyDescent="0.35">
      <c r="H28" s="6">
        <v>25</v>
      </c>
      <c r="I28" s="10">
        <v>7.8263529730636501</v>
      </c>
      <c r="J28" s="6">
        <v>22.038460000000001</v>
      </c>
      <c r="K28" s="6">
        <v>14.942310000000001</v>
      </c>
    </row>
    <row r="29" spans="8:11" x14ac:dyDescent="0.35">
      <c r="H29" s="6">
        <v>26</v>
      </c>
      <c r="I29" s="10">
        <v>10.288901011551864</v>
      </c>
      <c r="J29" s="6">
        <v>22.038460000000001</v>
      </c>
      <c r="K29" s="6">
        <v>14.942310000000001</v>
      </c>
    </row>
    <row r="30" spans="8:11" x14ac:dyDescent="0.35">
      <c r="H30" s="6">
        <v>27</v>
      </c>
      <c r="I30" s="10">
        <v>0.88390422908589927</v>
      </c>
      <c r="J30" s="6">
        <v>22.038460000000001</v>
      </c>
      <c r="K30" s="6">
        <v>14.942310000000001</v>
      </c>
    </row>
    <row r="31" spans="8:11" x14ac:dyDescent="0.35">
      <c r="H31" s="6">
        <v>28</v>
      </c>
      <c r="I31" s="10">
        <v>5.5708209106024773</v>
      </c>
      <c r="J31" s="6">
        <v>22.038460000000001</v>
      </c>
      <c r="K31" s="6">
        <v>14.942310000000001</v>
      </c>
    </row>
    <row r="32" spans="8:11" x14ac:dyDescent="0.35">
      <c r="H32" s="6">
        <v>29</v>
      </c>
      <c r="I32" s="10">
        <v>8.6373607320887853</v>
      </c>
      <c r="J32" s="6">
        <v>22.038460000000001</v>
      </c>
      <c r="K32" s="6">
        <v>14.942310000000001</v>
      </c>
    </row>
    <row r="33" spans="1:11" x14ac:dyDescent="0.35">
      <c r="H33" s="6">
        <v>30</v>
      </c>
      <c r="I33" s="10">
        <v>7.5034779775193421</v>
      </c>
      <c r="J33" s="6">
        <v>22.038460000000001</v>
      </c>
      <c r="K33" s="6">
        <v>14.942310000000001</v>
      </c>
    </row>
    <row r="34" spans="1:11" x14ac:dyDescent="0.35">
      <c r="H34" s="6">
        <v>31</v>
      </c>
      <c r="I34" s="10">
        <v>6.06756989191447</v>
      </c>
      <c r="J34" s="6">
        <v>22.038460000000001</v>
      </c>
      <c r="K34" s="6">
        <v>14.942310000000001</v>
      </c>
    </row>
    <row r="43" spans="1:11" x14ac:dyDescent="0.35">
      <c r="A43" s="11" t="s">
        <v>0</v>
      </c>
      <c r="B43" s="11" t="s">
        <v>2</v>
      </c>
      <c r="C43" s="1"/>
      <c r="H43" s="11" t="s">
        <v>0</v>
      </c>
      <c r="I43" s="11" t="s">
        <v>3</v>
      </c>
      <c r="J43" s="11" t="s">
        <v>13</v>
      </c>
      <c r="K43" s="11" t="s">
        <v>14</v>
      </c>
    </row>
    <row r="44" spans="1:11" x14ac:dyDescent="0.35">
      <c r="A44" s="6">
        <v>1</v>
      </c>
      <c r="B44" s="6">
        <v>4.21062628552892</v>
      </c>
      <c r="C44" s="1"/>
      <c r="D44" s="12"/>
      <c r="E44" s="4">
        <f>(SUM(B49:B56))</f>
        <v>2.7116090563508863</v>
      </c>
      <c r="H44" s="6">
        <v>1</v>
      </c>
      <c r="I44" s="6">
        <v>3.4846801825839067</v>
      </c>
      <c r="J44" s="6">
        <v>11.53710051</v>
      </c>
      <c r="K44" s="6">
        <v>11.146316799999999</v>
      </c>
    </row>
    <row r="45" spans="1:11" x14ac:dyDescent="0.35">
      <c r="A45" s="6">
        <v>2</v>
      </c>
      <c r="B45" s="6">
        <v>2.2585862961682501</v>
      </c>
      <c r="C45" s="1"/>
      <c r="D45" s="12"/>
      <c r="E45" s="4">
        <f>((B49^2+B50^2+B51^2+B52^2+B53^2+B54^2+B55^2+B56^2))</f>
        <v>1.7289258023578504</v>
      </c>
      <c r="H45" s="6">
        <v>2</v>
      </c>
      <c r="I45" s="6">
        <v>1.4137498727697373</v>
      </c>
      <c r="J45" s="6">
        <v>11.53710051</v>
      </c>
      <c r="K45" s="6">
        <v>11.146316799999999</v>
      </c>
    </row>
    <row r="46" spans="1:11" x14ac:dyDescent="0.35">
      <c r="A46" s="6">
        <v>3</v>
      </c>
      <c r="B46" s="6">
        <v>1.5236457149076199</v>
      </c>
      <c r="C46" s="1"/>
      <c r="D46" s="12"/>
      <c r="E46" s="4">
        <f>((B49^3+B50^3+B51^3+B52^3+B53^3+B54^3+B55^3+B56^3))</f>
        <v>1.2538195894434814</v>
      </c>
      <c r="H46" s="6">
        <v>3</v>
      </c>
      <c r="I46" s="6">
        <v>3.2658043159394574</v>
      </c>
      <c r="J46" s="6">
        <v>11.53710051</v>
      </c>
      <c r="K46" s="6">
        <v>11.146316799999999</v>
      </c>
    </row>
    <row r="47" spans="1:11" x14ac:dyDescent="0.35">
      <c r="A47" s="6">
        <v>4</v>
      </c>
      <c r="B47" s="6">
        <v>1.22153593904641</v>
      </c>
      <c r="C47" s="1"/>
      <c r="D47" s="12"/>
      <c r="E47" s="4">
        <f>(1-((2*E44*E46)/(3*E45^2)))</f>
        <v>0.24173998330412205</v>
      </c>
      <c r="H47" s="6">
        <v>4</v>
      </c>
      <c r="I47" s="6">
        <v>0.91614336321063194</v>
      </c>
      <c r="J47" s="6">
        <v>11.53710051</v>
      </c>
      <c r="K47" s="6">
        <v>11.146316799999999</v>
      </c>
    </row>
    <row r="48" spans="1:11" x14ac:dyDescent="0.35">
      <c r="A48" s="6">
        <v>5</v>
      </c>
      <c r="B48" s="6">
        <v>1.07399670799791</v>
      </c>
      <c r="C48" s="1"/>
      <c r="D48" s="13">
        <v>0.99</v>
      </c>
      <c r="E48" s="4">
        <v>2.58</v>
      </c>
      <c r="H48" s="6">
        <v>5</v>
      </c>
      <c r="I48" s="6">
        <v>1.3123519668330355</v>
      </c>
      <c r="J48" s="6">
        <v>11.53710051</v>
      </c>
      <c r="K48" s="6">
        <v>11.146316799999999</v>
      </c>
    </row>
    <row r="49" spans="1:11" x14ac:dyDescent="0.35">
      <c r="A49" s="6">
        <v>6</v>
      </c>
      <c r="B49" s="6">
        <v>0.91184523145825902</v>
      </c>
      <c r="C49" s="1"/>
      <c r="D49" s="14">
        <v>0.95</v>
      </c>
      <c r="E49" s="4">
        <v>1.645</v>
      </c>
      <c r="H49" s="6">
        <v>6</v>
      </c>
      <c r="I49" s="6">
        <v>3.7592696050267866</v>
      </c>
      <c r="J49" s="6">
        <v>11.53710051</v>
      </c>
      <c r="K49" s="6">
        <v>11.146316799999999</v>
      </c>
    </row>
    <row r="50" spans="1:11" x14ac:dyDescent="0.35">
      <c r="A50" s="6">
        <v>7</v>
      </c>
      <c r="B50" s="6">
        <v>0.63761078140762395</v>
      </c>
      <c r="C50" s="1"/>
      <c r="D50" s="12"/>
      <c r="E50" s="4">
        <f>(E44*((E48*(((2*E45*E47^2)^1/2)/E44))+((E44*E47*(E47-1))/E44^2)+1)^1/E47)</f>
        <v>11.53710050801485</v>
      </c>
      <c r="F50" s="15">
        <v>0.99</v>
      </c>
      <c r="H50" s="6">
        <v>7</v>
      </c>
      <c r="I50" s="6">
        <v>4.3367361893156238</v>
      </c>
      <c r="J50" s="6">
        <v>11.53710051</v>
      </c>
      <c r="K50" s="6">
        <v>11.146316799999999</v>
      </c>
    </row>
    <row r="51" spans="1:11" x14ac:dyDescent="0.35">
      <c r="A51" s="6">
        <v>8</v>
      </c>
      <c r="B51" s="6">
        <v>0.403974725994173</v>
      </c>
      <c r="C51" s="1"/>
      <c r="D51" s="12"/>
      <c r="E51" s="4">
        <f>(E44*((E49*(((2*E45*E47^2)^1/2)/E44))+((E44*E47*(E47-1))/E44^2)+1)^1/E47)</f>
        <v>11.146316795567541</v>
      </c>
      <c r="F51" s="15">
        <v>0.95</v>
      </c>
      <c r="H51" s="6">
        <v>8</v>
      </c>
      <c r="I51" s="6">
        <v>1.7751301733399572</v>
      </c>
      <c r="J51" s="6">
        <v>11.53710051</v>
      </c>
      <c r="K51" s="6">
        <v>11.146316799999999</v>
      </c>
    </row>
    <row r="52" spans="1:11" x14ac:dyDescent="0.35">
      <c r="A52" s="6">
        <v>9</v>
      </c>
      <c r="B52" s="6">
        <v>0.55066624999675495</v>
      </c>
      <c r="C52" s="1"/>
      <c r="H52" s="6">
        <v>9</v>
      </c>
      <c r="I52" s="6">
        <v>0.99513189305029648</v>
      </c>
      <c r="J52" s="6">
        <v>11.53710051</v>
      </c>
      <c r="K52" s="6">
        <v>11.146316799999999</v>
      </c>
    </row>
    <row r="53" spans="1:11" x14ac:dyDescent="0.35">
      <c r="A53" s="6">
        <v>10</v>
      </c>
      <c r="B53" s="6">
        <v>0.15160018230269401</v>
      </c>
      <c r="C53" s="1"/>
      <c r="H53" s="6">
        <v>10</v>
      </c>
      <c r="I53" s="6">
        <v>3.7150415561695018</v>
      </c>
      <c r="J53" s="6">
        <v>11.53710051</v>
      </c>
      <c r="K53" s="6">
        <v>11.146316799999999</v>
      </c>
    </row>
    <row r="54" spans="1:11" x14ac:dyDescent="0.35">
      <c r="A54" s="6">
        <v>11</v>
      </c>
      <c r="B54" s="6">
        <v>3.3387605717782397E-2</v>
      </c>
      <c r="C54" s="1"/>
      <c r="H54" s="6">
        <v>11</v>
      </c>
      <c r="I54" s="6">
        <v>3.0485948363768332</v>
      </c>
      <c r="J54" s="6">
        <v>11.53710051</v>
      </c>
      <c r="K54" s="6">
        <v>11.146316799999999</v>
      </c>
    </row>
    <row r="55" spans="1:11" x14ac:dyDescent="0.35">
      <c r="A55" s="6">
        <v>12</v>
      </c>
      <c r="B55" s="6">
        <v>2.9962321275460902E-3</v>
      </c>
      <c r="C55" s="1"/>
      <c r="H55" s="6">
        <v>12</v>
      </c>
      <c r="I55" s="6">
        <v>1.1122984471899924</v>
      </c>
      <c r="J55" s="6">
        <v>11.53710051</v>
      </c>
      <c r="K55" s="6">
        <v>11.146316799999999</v>
      </c>
    </row>
    <row r="56" spans="1:11" x14ac:dyDescent="0.35">
      <c r="A56" s="6">
        <v>13</v>
      </c>
      <c r="B56" s="6">
        <v>1.95280473460526E-2</v>
      </c>
      <c r="C56" s="1"/>
      <c r="H56" s="6">
        <v>13</v>
      </c>
      <c r="I56" s="6">
        <v>1.5232157450478436</v>
      </c>
      <c r="J56" s="6">
        <v>11.53710051</v>
      </c>
      <c r="K56" s="6">
        <v>11.146316799999999</v>
      </c>
    </row>
    <row r="57" spans="1:11" x14ac:dyDescent="0.35">
      <c r="H57" s="6">
        <v>14</v>
      </c>
      <c r="I57" s="6">
        <v>3.1503344444636303</v>
      </c>
      <c r="J57" s="6">
        <v>11.53710051</v>
      </c>
      <c r="K57" s="6">
        <v>11.146316799999999</v>
      </c>
    </row>
    <row r="58" spans="1:11" x14ac:dyDescent="0.35">
      <c r="H58" s="6">
        <v>15</v>
      </c>
      <c r="I58" s="6">
        <v>2.3288924648217142</v>
      </c>
      <c r="J58" s="6">
        <v>11.53710051</v>
      </c>
      <c r="K58" s="6">
        <v>11.146316799999999</v>
      </c>
    </row>
    <row r="59" spans="1:11" x14ac:dyDescent="0.35">
      <c r="H59" s="6">
        <v>16</v>
      </c>
      <c r="I59" s="6">
        <v>10.750551070267047</v>
      </c>
      <c r="J59" s="6">
        <v>11.53710051</v>
      </c>
      <c r="K59" s="6">
        <v>11.146316799999999</v>
      </c>
    </row>
    <row r="60" spans="1:11" x14ac:dyDescent="0.35">
      <c r="H60" s="6">
        <v>17</v>
      </c>
      <c r="I60" s="6">
        <v>0.77003366435064402</v>
      </c>
      <c r="J60" s="6">
        <v>11.53710051</v>
      </c>
      <c r="K60" s="6">
        <v>11.146316799999999</v>
      </c>
    </row>
    <row r="61" spans="1:11" x14ac:dyDescent="0.35">
      <c r="H61" s="6">
        <v>18</v>
      </c>
      <c r="I61" s="6">
        <v>4.893943584360791</v>
      </c>
      <c r="J61" s="6">
        <v>11.53710051</v>
      </c>
      <c r="K61" s="6">
        <v>11.146316799999999</v>
      </c>
    </row>
    <row r="62" spans="1:11" x14ac:dyDescent="0.35">
      <c r="H62" s="6">
        <v>19</v>
      </c>
      <c r="I62" s="6">
        <v>1.0754007690467411</v>
      </c>
      <c r="J62" s="6">
        <v>11.53710051</v>
      </c>
      <c r="K62" s="6">
        <v>11.146316799999999</v>
      </c>
    </row>
    <row r="63" spans="1:11" x14ac:dyDescent="0.35">
      <c r="H63" s="6">
        <v>20</v>
      </c>
      <c r="I63" s="6">
        <v>3.4013837702894913</v>
      </c>
      <c r="J63" s="6">
        <v>11.53710051</v>
      </c>
      <c r="K63" s="6">
        <v>11.146316799999999</v>
      </c>
    </row>
    <row r="64" spans="1:11" x14ac:dyDescent="0.35">
      <c r="H64" s="6">
        <v>21</v>
      </c>
      <c r="I64" s="6">
        <v>4.606555720133219</v>
      </c>
      <c r="J64" s="6">
        <v>11.53710051</v>
      </c>
      <c r="K64" s="6">
        <v>11.146316799999999</v>
      </c>
    </row>
    <row r="65" spans="8:11" x14ac:dyDescent="0.35">
      <c r="H65" s="6">
        <v>22</v>
      </c>
      <c r="I65" s="6">
        <v>1.5720726161427019</v>
      </c>
      <c r="J65" s="6">
        <v>11.53710051</v>
      </c>
      <c r="K65" s="6">
        <v>11.146316799999999</v>
      </c>
    </row>
    <row r="66" spans="8:11" x14ac:dyDescent="0.35">
      <c r="H66" s="6">
        <v>23</v>
      </c>
      <c r="I66" s="6">
        <v>2.0375560684658427</v>
      </c>
      <c r="J66" s="6">
        <v>11.53710051</v>
      </c>
      <c r="K66" s="6">
        <v>11.146316799999999</v>
      </c>
    </row>
    <row r="67" spans="8:11" x14ac:dyDescent="0.35">
      <c r="H67" s="6">
        <v>24</v>
      </c>
      <c r="I67" s="6">
        <v>3.1680925790883117</v>
      </c>
      <c r="J67" s="6">
        <v>11.53710051</v>
      </c>
      <c r="K67" s="6">
        <v>11.146316799999999</v>
      </c>
    </row>
    <row r="68" spans="8:11" x14ac:dyDescent="0.35">
      <c r="H68" s="6">
        <v>25</v>
      </c>
      <c r="I68" s="6">
        <v>0.32955065714930265</v>
      </c>
      <c r="J68" s="6">
        <v>11.53710051</v>
      </c>
      <c r="K68" s="6">
        <v>11.146316799999999</v>
      </c>
    </row>
    <row r="69" spans="8:11" x14ac:dyDescent="0.35">
      <c r="H69" s="6">
        <v>26</v>
      </c>
      <c r="I69" s="6">
        <v>0.10037753739272477</v>
      </c>
      <c r="J69" s="6">
        <v>11.53710051</v>
      </c>
      <c r="K69" s="6">
        <v>11.146316799999999</v>
      </c>
    </row>
    <row r="70" spans="8:11" x14ac:dyDescent="0.35">
      <c r="H70" s="6">
        <v>27</v>
      </c>
      <c r="I70" s="6">
        <v>2.398872333723856</v>
      </c>
      <c r="J70" s="6">
        <v>11.53710051</v>
      </c>
      <c r="K70" s="6">
        <v>11.146316799999999</v>
      </c>
    </row>
    <row r="71" spans="8:11" x14ac:dyDescent="0.35">
      <c r="H71" s="6">
        <v>28</v>
      </c>
      <c r="I71" s="6">
        <v>1.094856587169337</v>
      </c>
      <c r="J71" s="6">
        <v>11.53710051</v>
      </c>
      <c r="K71" s="6">
        <v>11.146316799999999</v>
      </c>
    </row>
    <row r="72" spans="8:11" x14ac:dyDescent="0.35">
      <c r="H72" s="6">
        <v>29</v>
      </c>
      <c r="I72" s="6">
        <v>3.4079549063715371</v>
      </c>
      <c r="J72" s="6">
        <v>11.53710051</v>
      </c>
      <c r="K72" s="6">
        <v>11.146316799999999</v>
      </c>
    </row>
    <row r="73" spans="8:11" x14ac:dyDescent="0.35">
      <c r="H73" s="6">
        <v>30</v>
      </c>
      <c r="I73" s="6">
        <v>3.1518663879726097</v>
      </c>
      <c r="J73" s="6">
        <v>11.53710051</v>
      </c>
      <c r="K73" s="6">
        <v>11.146316799999999</v>
      </c>
    </row>
    <row r="74" spans="8:11" x14ac:dyDescent="0.35">
      <c r="H74" s="6">
        <v>31</v>
      </c>
      <c r="I74" s="6">
        <v>2.4254104969023857</v>
      </c>
      <c r="J74" s="6">
        <v>11.53710051</v>
      </c>
      <c r="K74" s="6">
        <v>11.146316799999999</v>
      </c>
    </row>
  </sheetData>
  <pageMargins left="0.7" right="0.7" top="0.75" bottom="0.75" header="0.3" footer="0.3"/>
  <pageSetup orientation="portrait" r:id="rId1"/>
  <ignoredErrors>
    <ignoredError sqref="E44" formulaRange="1"/>
  </ignoredErrors>
  <drawing r:id="rId2"/>
  <legacyDrawing r:id="rId3"/>
  <oleObjects>
    <mc:AlternateContent xmlns:mc="http://schemas.openxmlformats.org/markup-compatibility/2006">
      <mc:Choice Requires="x14">
        <oleObject progId="Equation.3" shapeId="4098" r:id="rId4">
          <objectPr defaultSize="0" autoPict="0" r:id="rId5">
            <anchor moveWithCells="1" sizeWithCells="1">
              <from>
                <xdr:col>0</xdr:col>
                <xdr:colOff>387350</xdr:colOff>
                <xdr:row>3</xdr:row>
                <xdr:rowOff>69850</xdr:rowOff>
              </from>
              <to>
                <xdr:col>2</xdr:col>
                <xdr:colOff>463550</xdr:colOff>
                <xdr:row>5</xdr:row>
                <xdr:rowOff>101600</xdr:rowOff>
              </to>
            </anchor>
          </objectPr>
        </oleObject>
      </mc:Choice>
      <mc:Fallback>
        <oleObject progId="Equation.3" shapeId="4098" r:id="rId4"/>
      </mc:Fallback>
    </mc:AlternateContent>
    <mc:AlternateContent xmlns:mc="http://schemas.openxmlformats.org/markup-compatibility/2006">
      <mc:Choice Requires="x14">
        <oleObject progId="Equation.3" shapeId="4100" r:id="rId6">
          <objectPr defaultSize="0" r:id="rId7">
            <anchor moveWithCells="1" sizeWithCells="1">
              <from>
                <xdr:col>0</xdr:col>
                <xdr:colOff>76200</xdr:colOff>
                <xdr:row>37</xdr:row>
                <xdr:rowOff>139700</xdr:rowOff>
              </from>
              <to>
                <xdr:col>6</xdr:col>
                <xdr:colOff>152400</xdr:colOff>
                <xdr:row>40</xdr:row>
                <xdr:rowOff>177800</xdr:rowOff>
              </to>
            </anchor>
          </objectPr>
        </oleObject>
      </mc:Choice>
      <mc:Fallback>
        <oleObject progId="Equation.3" shapeId="4100" r:id="rId6"/>
      </mc:Fallback>
    </mc:AlternateContent>
    <mc:AlternateContent xmlns:mc="http://schemas.openxmlformats.org/markup-compatibility/2006">
      <mc:Choice Requires="x14">
        <oleObject progId="Equation.3" shapeId="4101" r:id="rId8">
          <objectPr defaultSize="0" autoPict="0" r:id="rId9">
            <anchor moveWithCells="1" sizeWithCells="1">
              <from>
                <xdr:col>6</xdr:col>
                <xdr:colOff>444500</xdr:colOff>
                <xdr:row>38</xdr:row>
                <xdr:rowOff>50800</xdr:rowOff>
              </from>
              <to>
                <xdr:col>8</xdr:col>
                <xdr:colOff>69850</xdr:colOff>
                <xdr:row>40</xdr:row>
                <xdr:rowOff>114300</xdr:rowOff>
              </to>
            </anchor>
          </objectPr>
        </oleObject>
      </mc:Choice>
      <mc:Fallback>
        <oleObject progId="Equation.3" shapeId="4101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7C2-6CDC-4604-BC4C-371769B6F95F}">
  <dimension ref="B1:Z37"/>
  <sheetViews>
    <sheetView tabSelected="1" zoomScale="70" zoomScaleNormal="70" workbookViewId="0">
      <selection activeCell="O39" sqref="O39"/>
    </sheetView>
  </sheetViews>
  <sheetFormatPr defaultRowHeight="14.5" x14ac:dyDescent="0.35"/>
  <sheetData>
    <row r="1" spans="2:26" ht="15" thickBot="1" x14ac:dyDescent="0.4"/>
    <row r="2" spans="2:26" x14ac:dyDescent="0.35">
      <c r="B2" s="19" t="s">
        <v>0</v>
      </c>
      <c r="C2" s="20" t="s">
        <v>34</v>
      </c>
      <c r="D2" s="20"/>
      <c r="E2" s="21"/>
      <c r="F2" s="31" t="s">
        <v>32</v>
      </c>
      <c r="G2" s="21"/>
      <c r="H2" s="31" t="s">
        <v>33</v>
      </c>
      <c r="I2" s="20"/>
      <c r="J2" s="20"/>
      <c r="K2" s="21"/>
      <c r="U2" s="18" t="s">
        <v>0</v>
      </c>
      <c r="V2" s="17" t="s">
        <v>36</v>
      </c>
      <c r="W2" s="17"/>
      <c r="X2" s="17"/>
      <c r="Y2" s="17" t="s">
        <v>32</v>
      </c>
      <c r="Z2" s="17"/>
    </row>
    <row r="3" spans="2:26" s="1" customFormat="1" x14ac:dyDescent="0.35">
      <c r="B3" s="22"/>
      <c r="C3" s="23" t="s">
        <v>23</v>
      </c>
      <c r="D3" s="23" t="s">
        <v>24</v>
      </c>
      <c r="E3" s="24" t="s">
        <v>25</v>
      </c>
      <c r="F3" s="32" t="s">
        <v>26</v>
      </c>
      <c r="G3" s="24" t="s">
        <v>27</v>
      </c>
      <c r="H3" s="32" t="s">
        <v>21</v>
      </c>
      <c r="I3" s="23" t="s">
        <v>22</v>
      </c>
      <c r="J3" s="23" t="s">
        <v>21</v>
      </c>
      <c r="K3" s="24" t="s">
        <v>22</v>
      </c>
      <c r="U3" s="18"/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 spans="2:26" x14ac:dyDescent="0.35">
      <c r="B4" s="25">
        <v>1</v>
      </c>
      <c r="C4" s="26">
        <v>299.35899999999998</v>
      </c>
      <c r="D4" s="26">
        <v>298.67</v>
      </c>
      <c r="E4" s="27">
        <v>299.11799999999999</v>
      </c>
      <c r="F4" s="33">
        <f>AVERAGE(C4:E4)</f>
        <v>299.04899999999998</v>
      </c>
      <c r="G4" s="34">
        <f>MAX(C4:E4)-MIN(C4:E4)</f>
        <v>0.68899999999996453</v>
      </c>
      <c r="H4" s="25">
        <f>F36</f>
        <v>302.06563960589625</v>
      </c>
      <c r="I4" s="26">
        <f>F37</f>
        <v>297.61764928299266</v>
      </c>
      <c r="J4" s="26">
        <f>G36</f>
        <v>6.6198989999999922</v>
      </c>
      <c r="K4" s="27">
        <f>G37</f>
        <v>0</v>
      </c>
      <c r="U4">
        <v>1</v>
      </c>
      <c r="V4">
        <v>300</v>
      </c>
      <c r="W4">
        <v>300</v>
      </c>
      <c r="X4">
        <v>300</v>
      </c>
      <c r="Y4" s="16">
        <f>AVERAGE(V4:X4)</f>
        <v>300</v>
      </c>
      <c r="Z4" s="16">
        <f>MAX(V4:X4)-MIN(V4:X4)</f>
        <v>0</v>
      </c>
    </row>
    <row r="5" spans="2:26" x14ac:dyDescent="0.35">
      <c r="B5" s="25">
        <v>2</v>
      </c>
      <c r="C5" s="26">
        <v>298.68200000000002</v>
      </c>
      <c r="D5" s="26">
        <v>298.286</v>
      </c>
      <c r="E5" s="27">
        <v>297.82600000000002</v>
      </c>
      <c r="F5" s="33">
        <f t="shared" ref="F5:F33" si="0">AVERAGE(C5:E5)</f>
        <v>298.2646666666667</v>
      </c>
      <c r="G5" s="34">
        <f t="shared" ref="G5:G33" si="1">MAX(C5:E5)-MIN(C5:E5)</f>
        <v>0.85599999999999454</v>
      </c>
      <c r="H5" s="25">
        <f>H4</f>
        <v>302.06563960589625</v>
      </c>
      <c r="I5" s="26">
        <f t="shared" ref="I5:K5" si="2">I4</f>
        <v>297.61764928299266</v>
      </c>
      <c r="J5" s="26">
        <f t="shared" si="2"/>
        <v>6.6198989999999922</v>
      </c>
      <c r="K5" s="27">
        <f t="shared" si="2"/>
        <v>0</v>
      </c>
      <c r="U5">
        <v>2</v>
      </c>
      <c r="V5">
        <v>300</v>
      </c>
      <c r="W5">
        <v>300</v>
      </c>
      <c r="X5">
        <v>300</v>
      </c>
      <c r="Y5" s="16">
        <f t="shared" ref="Y5:Y33" si="3">AVERAGE(V5:X5)</f>
        <v>300</v>
      </c>
      <c r="Z5" s="16">
        <f t="shared" ref="Z5:Z33" si="4">MAX(V5:X5)-MIN(V5:X5)</f>
        <v>0</v>
      </c>
    </row>
    <row r="6" spans="2:26" x14ac:dyDescent="0.35">
      <c r="B6" s="25">
        <v>3</v>
      </c>
      <c r="C6" s="26">
        <v>300.55799999999999</v>
      </c>
      <c r="D6" s="26">
        <v>298.41899999999998</v>
      </c>
      <c r="E6" s="27">
        <v>301.74799999999999</v>
      </c>
      <c r="F6" s="33">
        <f t="shared" si="0"/>
        <v>300.24166666666662</v>
      </c>
      <c r="G6" s="34">
        <f t="shared" si="1"/>
        <v>3.3290000000000077</v>
      </c>
      <c r="H6" s="25">
        <f t="shared" ref="H6:H33" si="5">H5</f>
        <v>302.06563960589625</v>
      </c>
      <c r="I6" s="26">
        <f t="shared" ref="I6:I33" si="6">I5</f>
        <v>297.61764928299266</v>
      </c>
      <c r="J6" s="26">
        <f t="shared" ref="J6:J33" si="7">J5</f>
        <v>6.6198989999999922</v>
      </c>
      <c r="K6" s="27">
        <f t="shared" ref="K6:K33" si="8">K5</f>
        <v>0</v>
      </c>
      <c r="U6">
        <v>3</v>
      </c>
      <c r="V6">
        <v>300</v>
      </c>
      <c r="W6">
        <v>300</v>
      </c>
      <c r="X6">
        <v>300</v>
      </c>
      <c r="Y6" s="16">
        <f t="shared" si="3"/>
        <v>300</v>
      </c>
      <c r="Z6" s="16">
        <f t="shared" si="4"/>
        <v>0</v>
      </c>
    </row>
    <row r="7" spans="2:26" x14ac:dyDescent="0.35">
      <c r="B7" s="25">
        <v>4</v>
      </c>
      <c r="C7" s="26">
        <v>298.96600000000001</v>
      </c>
      <c r="D7" s="26">
        <v>301.88499999999999</v>
      </c>
      <c r="E7" s="27">
        <v>298.839</v>
      </c>
      <c r="F7" s="33">
        <f t="shared" si="0"/>
        <v>299.8966666666667</v>
      </c>
      <c r="G7" s="34">
        <f t="shared" si="1"/>
        <v>3.0459999999999923</v>
      </c>
      <c r="H7" s="25">
        <f t="shared" si="5"/>
        <v>302.06563960589625</v>
      </c>
      <c r="I7" s="26">
        <f t="shared" si="6"/>
        <v>297.61764928299266</v>
      </c>
      <c r="J7" s="26">
        <f t="shared" si="7"/>
        <v>6.6198989999999922</v>
      </c>
      <c r="K7" s="27">
        <f t="shared" si="8"/>
        <v>0</v>
      </c>
      <c r="U7">
        <v>4</v>
      </c>
      <c r="V7">
        <v>300</v>
      </c>
      <c r="W7">
        <v>300</v>
      </c>
      <c r="X7">
        <v>300</v>
      </c>
      <c r="Y7" s="16">
        <f t="shared" si="3"/>
        <v>300</v>
      </c>
      <c r="Z7" s="16">
        <f t="shared" si="4"/>
        <v>0</v>
      </c>
    </row>
    <row r="8" spans="2:26" x14ac:dyDescent="0.35">
      <c r="B8" s="25">
        <v>5</v>
      </c>
      <c r="C8" s="26">
        <v>300.142</v>
      </c>
      <c r="D8" s="26">
        <v>300.74900000000002</v>
      </c>
      <c r="E8" s="27">
        <v>299.98200000000003</v>
      </c>
      <c r="F8" s="33">
        <f t="shared" si="0"/>
        <v>300.291</v>
      </c>
      <c r="G8" s="34">
        <f t="shared" si="1"/>
        <v>0.76699999999999591</v>
      </c>
      <c r="H8" s="25">
        <f t="shared" si="5"/>
        <v>302.06563960589625</v>
      </c>
      <c r="I8" s="26">
        <f t="shared" si="6"/>
        <v>297.61764928299266</v>
      </c>
      <c r="J8" s="26">
        <f t="shared" si="7"/>
        <v>6.6198989999999922</v>
      </c>
      <c r="K8" s="27">
        <f t="shared" si="8"/>
        <v>0</v>
      </c>
      <c r="U8">
        <v>5</v>
      </c>
      <c r="V8">
        <v>300</v>
      </c>
      <c r="W8">
        <v>300</v>
      </c>
      <c r="X8">
        <v>300</v>
      </c>
      <c r="Y8" s="16">
        <f t="shared" si="3"/>
        <v>300</v>
      </c>
      <c r="Z8" s="16">
        <f t="shared" si="4"/>
        <v>0</v>
      </c>
    </row>
    <row r="9" spans="2:26" x14ac:dyDescent="0.35">
      <c r="B9" s="25">
        <v>6</v>
      </c>
      <c r="C9" s="26">
        <v>299.274</v>
      </c>
      <c r="D9" s="26">
        <v>299.57900000000001</v>
      </c>
      <c r="E9" s="27">
        <v>299.99900000000002</v>
      </c>
      <c r="F9" s="33">
        <f t="shared" si="0"/>
        <v>299.61733333333336</v>
      </c>
      <c r="G9" s="34">
        <f t="shared" si="1"/>
        <v>0.72500000000002274</v>
      </c>
      <c r="H9" s="25">
        <f t="shared" si="5"/>
        <v>302.06563960589625</v>
      </c>
      <c r="I9" s="26">
        <f t="shared" si="6"/>
        <v>297.61764928299266</v>
      </c>
      <c r="J9" s="26">
        <f t="shared" si="7"/>
        <v>6.6198989999999922</v>
      </c>
      <c r="K9" s="27">
        <f t="shared" si="8"/>
        <v>0</v>
      </c>
      <c r="U9">
        <v>6</v>
      </c>
      <c r="V9">
        <v>300</v>
      </c>
      <c r="W9">
        <v>300</v>
      </c>
      <c r="X9">
        <v>300</v>
      </c>
      <c r="Y9" s="16">
        <f t="shared" si="3"/>
        <v>300</v>
      </c>
      <c r="Z9" s="16">
        <f t="shared" si="4"/>
        <v>0</v>
      </c>
    </row>
    <row r="10" spans="2:26" x14ac:dyDescent="0.35">
      <c r="B10" s="25">
        <v>7</v>
      </c>
      <c r="C10" s="26">
        <v>300.08499999999998</v>
      </c>
      <c r="D10" s="26">
        <v>298.89100000000002</v>
      </c>
      <c r="E10" s="27">
        <v>299.59300000000002</v>
      </c>
      <c r="F10" s="33">
        <f t="shared" si="0"/>
        <v>299.52299999999997</v>
      </c>
      <c r="G10" s="34">
        <f t="shared" si="1"/>
        <v>1.19399999999996</v>
      </c>
      <c r="H10" s="25">
        <f t="shared" si="5"/>
        <v>302.06563960589625</v>
      </c>
      <c r="I10" s="26">
        <f t="shared" si="6"/>
        <v>297.61764928299266</v>
      </c>
      <c r="J10" s="26">
        <f t="shared" si="7"/>
        <v>6.6198989999999922</v>
      </c>
      <c r="K10" s="27">
        <f t="shared" si="8"/>
        <v>0</v>
      </c>
      <c r="U10">
        <v>7</v>
      </c>
      <c r="V10">
        <v>300</v>
      </c>
      <c r="W10">
        <v>300</v>
      </c>
      <c r="X10">
        <v>300</v>
      </c>
      <c r="Y10" s="16">
        <f t="shared" si="3"/>
        <v>300</v>
      </c>
      <c r="Z10" s="16">
        <f t="shared" si="4"/>
        <v>0</v>
      </c>
    </row>
    <row r="11" spans="2:26" x14ac:dyDescent="0.35">
      <c r="B11" s="25">
        <v>8</v>
      </c>
      <c r="C11" s="26">
        <v>301.74700000000001</v>
      </c>
      <c r="D11" s="26">
        <v>301.87599999999998</v>
      </c>
      <c r="E11" s="27">
        <v>300.64600000000002</v>
      </c>
      <c r="F11" s="33">
        <f t="shared" si="0"/>
        <v>301.423</v>
      </c>
      <c r="G11" s="34">
        <f t="shared" si="1"/>
        <v>1.2299999999999613</v>
      </c>
      <c r="H11" s="25">
        <f t="shared" si="5"/>
        <v>302.06563960589625</v>
      </c>
      <c r="I11" s="26">
        <f t="shared" si="6"/>
        <v>297.61764928299266</v>
      </c>
      <c r="J11" s="26">
        <f t="shared" si="7"/>
        <v>6.6198989999999922</v>
      </c>
      <c r="K11" s="27">
        <f t="shared" si="8"/>
        <v>0</v>
      </c>
      <c r="U11">
        <v>8</v>
      </c>
      <c r="V11">
        <v>300</v>
      </c>
      <c r="W11">
        <v>300</v>
      </c>
      <c r="X11">
        <v>300</v>
      </c>
      <c r="Y11" s="16">
        <f t="shared" si="3"/>
        <v>300</v>
      </c>
      <c r="Z11" s="16">
        <f t="shared" si="4"/>
        <v>0</v>
      </c>
    </row>
    <row r="12" spans="2:26" x14ac:dyDescent="0.35">
      <c r="B12" s="25">
        <v>9</v>
      </c>
      <c r="C12" s="26">
        <v>299.45400000000001</v>
      </c>
      <c r="D12" s="26">
        <v>299.87400000000002</v>
      </c>
      <c r="E12" s="27">
        <v>299.57</v>
      </c>
      <c r="F12" s="33">
        <f t="shared" si="0"/>
        <v>299.63266666666664</v>
      </c>
      <c r="G12" s="34">
        <f t="shared" si="1"/>
        <v>0.42000000000001592</v>
      </c>
      <c r="H12" s="25">
        <f t="shared" si="5"/>
        <v>302.06563960589625</v>
      </c>
      <c r="I12" s="26">
        <f t="shared" si="6"/>
        <v>297.61764928299266</v>
      </c>
      <c r="J12" s="26">
        <f t="shared" si="7"/>
        <v>6.6198989999999922</v>
      </c>
      <c r="K12" s="27">
        <f t="shared" si="8"/>
        <v>0</v>
      </c>
      <c r="U12">
        <v>9</v>
      </c>
      <c r="V12">
        <v>300</v>
      </c>
      <c r="W12">
        <v>300</v>
      </c>
      <c r="X12">
        <v>300</v>
      </c>
      <c r="Y12" s="16">
        <f t="shared" si="3"/>
        <v>300</v>
      </c>
      <c r="Z12" s="16">
        <f t="shared" si="4"/>
        <v>0</v>
      </c>
    </row>
    <row r="13" spans="2:26" x14ac:dyDescent="0.35">
      <c r="B13" s="25">
        <v>10</v>
      </c>
      <c r="C13" s="26">
        <v>299.28899999999999</v>
      </c>
      <c r="D13" s="26">
        <v>301.86799999999999</v>
      </c>
      <c r="E13" s="27">
        <v>297.28800000000001</v>
      </c>
      <c r="F13" s="33">
        <f t="shared" si="0"/>
        <v>299.48166666666663</v>
      </c>
      <c r="G13" s="34">
        <f t="shared" si="1"/>
        <v>4.5799999999999841</v>
      </c>
      <c r="H13" s="25">
        <f t="shared" si="5"/>
        <v>302.06563960589625</v>
      </c>
      <c r="I13" s="26">
        <f t="shared" si="6"/>
        <v>297.61764928299266</v>
      </c>
      <c r="J13" s="26">
        <f t="shared" si="7"/>
        <v>6.6198989999999922</v>
      </c>
      <c r="K13" s="27">
        <f t="shared" si="8"/>
        <v>0</v>
      </c>
      <c r="U13">
        <v>10</v>
      </c>
      <c r="V13">
        <v>300</v>
      </c>
      <c r="W13">
        <v>300</v>
      </c>
      <c r="X13">
        <v>300</v>
      </c>
      <c r="Y13" s="16">
        <f t="shared" si="3"/>
        <v>300</v>
      </c>
      <c r="Z13" s="16">
        <f t="shared" si="4"/>
        <v>0</v>
      </c>
    </row>
    <row r="14" spans="2:26" x14ac:dyDescent="0.35">
      <c r="B14" s="25">
        <v>11</v>
      </c>
      <c r="C14" s="26">
        <v>299.33600000000001</v>
      </c>
      <c r="D14" s="26">
        <v>300.565</v>
      </c>
      <c r="E14" s="27">
        <v>298.32299999999998</v>
      </c>
      <c r="F14" s="33">
        <f t="shared" si="0"/>
        <v>299.40800000000002</v>
      </c>
      <c r="G14" s="34">
        <f t="shared" si="1"/>
        <v>2.2420000000000186</v>
      </c>
      <c r="H14" s="25">
        <f t="shared" si="5"/>
        <v>302.06563960589625</v>
      </c>
      <c r="I14" s="26">
        <f t="shared" si="6"/>
        <v>297.61764928299266</v>
      </c>
      <c r="J14" s="26">
        <f t="shared" si="7"/>
        <v>6.6198989999999922</v>
      </c>
      <c r="K14" s="27">
        <f t="shared" si="8"/>
        <v>0</v>
      </c>
      <c r="U14">
        <v>11</v>
      </c>
      <c r="V14">
        <v>300</v>
      </c>
      <c r="W14">
        <v>300</v>
      </c>
      <c r="X14">
        <v>300</v>
      </c>
      <c r="Y14" s="16">
        <f t="shared" si="3"/>
        <v>300</v>
      </c>
      <c r="Z14" s="16">
        <f t="shared" si="4"/>
        <v>0</v>
      </c>
    </row>
    <row r="15" spans="2:26" x14ac:dyDescent="0.35">
      <c r="B15" s="25">
        <v>12</v>
      </c>
      <c r="C15" s="26">
        <v>297.58800000000002</v>
      </c>
      <c r="D15" s="26">
        <v>303.34800000000001</v>
      </c>
      <c r="E15" s="27">
        <v>300.39600000000002</v>
      </c>
      <c r="F15" s="33">
        <f t="shared" si="0"/>
        <v>300.44400000000002</v>
      </c>
      <c r="G15" s="34">
        <f t="shared" si="1"/>
        <v>5.7599999999999909</v>
      </c>
      <c r="H15" s="25">
        <f t="shared" si="5"/>
        <v>302.06563960589625</v>
      </c>
      <c r="I15" s="26">
        <f t="shared" si="6"/>
        <v>297.61764928299266</v>
      </c>
      <c r="J15" s="26">
        <f t="shared" si="7"/>
        <v>6.6198989999999922</v>
      </c>
      <c r="K15" s="27">
        <f t="shared" si="8"/>
        <v>0</v>
      </c>
      <c r="U15">
        <v>12</v>
      </c>
      <c r="V15">
        <v>300</v>
      </c>
      <c r="W15">
        <v>300</v>
      </c>
      <c r="X15">
        <v>300</v>
      </c>
      <c r="Y15" s="16">
        <f t="shared" si="3"/>
        <v>300</v>
      </c>
      <c r="Z15" s="16">
        <f t="shared" si="4"/>
        <v>0</v>
      </c>
    </row>
    <row r="16" spans="2:26" x14ac:dyDescent="0.35">
      <c r="B16" s="25">
        <v>13</v>
      </c>
      <c r="C16" s="26">
        <v>303.55799999999999</v>
      </c>
      <c r="D16" s="26">
        <v>300.315</v>
      </c>
      <c r="E16" s="27">
        <v>297.952</v>
      </c>
      <c r="F16" s="33">
        <f t="shared" si="0"/>
        <v>300.60833333333335</v>
      </c>
      <c r="G16" s="34">
        <f t="shared" si="1"/>
        <v>5.6059999999999945</v>
      </c>
      <c r="H16" s="25">
        <f t="shared" si="5"/>
        <v>302.06563960589625</v>
      </c>
      <c r="I16" s="26">
        <f t="shared" si="6"/>
        <v>297.61764928299266</v>
      </c>
      <c r="J16" s="26">
        <f t="shared" si="7"/>
        <v>6.6198989999999922</v>
      </c>
      <c r="K16" s="27">
        <f t="shared" si="8"/>
        <v>0</v>
      </c>
      <c r="U16">
        <v>13</v>
      </c>
      <c r="V16">
        <v>300</v>
      </c>
      <c r="W16">
        <v>300</v>
      </c>
      <c r="X16">
        <v>300</v>
      </c>
      <c r="Y16" s="16">
        <f t="shared" si="3"/>
        <v>300</v>
      </c>
      <c r="Z16" s="16">
        <f t="shared" si="4"/>
        <v>0</v>
      </c>
    </row>
    <row r="17" spans="2:26" x14ac:dyDescent="0.35">
      <c r="B17" s="25">
        <v>14</v>
      </c>
      <c r="C17" s="26">
        <v>300.44900000000001</v>
      </c>
      <c r="D17" s="26">
        <v>301.11200000000002</v>
      </c>
      <c r="E17" s="27">
        <v>299.43400000000003</v>
      </c>
      <c r="F17" s="33">
        <f t="shared" si="0"/>
        <v>300.33166666666671</v>
      </c>
      <c r="G17" s="34">
        <f t="shared" si="1"/>
        <v>1.6779999999999973</v>
      </c>
      <c r="H17" s="25">
        <f t="shared" si="5"/>
        <v>302.06563960589625</v>
      </c>
      <c r="I17" s="26">
        <f t="shared" si="6"/>
        <v>297.61764928299266</v>
      </c>
      <c r="J17" s="26">
        <f t="shared" si="7"/>
        <v>6.6198989999999922</v>
      </c>
      <c r="K17" s="27">
        <f t="shared" si="8"/>
        <v>0</v>
      </c>
      <c r="U17">
        <v>14</v>
      </c>
      <c r="V17">
        <v>300</v>
      </c>
      <c r="W17">
        <v>300</v>
      </c>
      <c r="X17">
        <v>300</v>
      </c>
      <c r="Y17" s="16">
        <f t="shared" si="3"/>
        <v>300</v>
      </c>
      <c r="Z17" s="16">
        <f t="shared" si="4"/>
        <v>0</v>
      </c>
    </row>
    <row r="18" spans="2:26" x14ac:dyDescent="0.35">
      <c r="B18" s="25">
        <v>15</v>
      </c>
      <c r="C18" s="26">
        <v>303.02100000000002</v>
      </c>
      <c r="D18" s="26">
        <v>296.85000000000002</v>
      </c>
      <c r="E18" s="27">
        <v>298.46600000000001</v>
      </c>
      <c r="F18" s="33">
        <f t="shared" si="0"/>
        <v>299.44566666666668</v>
      </c>
      <c r="G18" s="34">
        <f t="shared" si="1"/>
        <v>6.1709999999999923</v>
      </c>
      <c r="H18" s="25">
        <f t="shared" si="5"/>
        <v>302.06563960589625</v>
      </c>
      <c r="I18" s="26">
        <f t="shared" si="6"/>
        <v>297.61764928299266</v>
      </c>
      <c r="J18" s="26">
        <f t="shared" si="7"/>
        <v>6.6198989999999922</v>
      </c>
      <c r="K18" s="27">
        <f t="shared" si="8"/>
        <v>0</v>
      </c>
      <c r="U18">
        <v>15</v>
      </c>
      <c r="V18">
        <v>300</v>
      </c>
      <c r="W18">
        <v>300</v>
      </c>
      <c r="X18">
        <v>300</v>
      </c>
      <c r="Y18" s="16">
        <f t="shared" si="3"/>
        <v>300</v>
      </c>
      <c r="Z18" s="16">
        <f t="shared" si="4"/>
        <v>0</v>
      </c>
    </row>
    <row r="19" spans="2:26" x14ac:dyDescent="0.35">
      <c r="B19" s="25">
        <v>16</v>
      </c>
      <c r="C19" s="26">
        <v>301.46199999999999</v>
      </c>
      <c r="D19" s="26">
        <v>298.93599999999998</v>
      </c>
      <c r="E19" s="27">
        <v>298.69299999999998</v>
      </c>
      <c r="F19" s="33">
        <f t="shared" si="0"/>
        <v>299.69699999999995</v>
      </c>
      <c r="G19" s="34">
        <f t="shared" si="1"/>
        <v>2.7690000000000055</v>
      </c>
      <c r="H19" s="25">
        <f t="shared" si="5"/>
        <v>302.06563960589625</v>
      </c>
      <c r="I19" s="26">
        <f t="shared" si="6"/>
        <v>297.61764928299266</v>
      </c>
      <c r="J19" s="26">
        <f t="shared" si="7"/>
        <v>6.6198989999999922</v>
      </c>
      <c r="K19" s="27">
        <f t="shared" si="8"/>
        <v>0</v>
      </c>
      <c r="U19">
        <v>16</v>
      </c>
      <c r="V19">
        <v>300</v>
      </c>
      <c r="W19">
        <v>300</v>
      </c>
      <c r="X19">
        <v>300</v>
      </c>
      <c r="Y19" s="16">
        <f t="shared" si="3"/>
        <v>300</v>
      </c>
      <c r="Z19" s="16">
        <f t="shared" si="4"/>
        <v>0</v>
      </c>
    </row>
    <row r="20" spans="2:26" x14ac:dyDescent="0.35">
      <c r="B20" s="25">
        <v>17</v>
      </c>
      <c r="C20" s="26">
        <v>300.43900000000002</v>
      </c>
      <c r="D20" s="26">
        <v>298.20499999999998</v>
      </c>
      <c r="E20" s="27">
        <v>298.86799999999999</v>
      </c>
      <c r="F20" s="33">
        <f t="shared" si="0"/>
        <v>299.17066666666665</v>
      </c>
      <c r="G20" s="34">
        <f t="shared" si="1"/>
        <v>2.2340000000000373</v>
      </c>
      <c r="H20" s="25">
        <f t="shared" si="5"/>
        <v>302.06563960589625</v>
      </c>
      <c r="I20" s="26">
        <f t="shared" si="6"/>
        <v>297.61764928299266</v>
      </c>
      <c r="J20" s="26">
        <f t="shared" si="7"/>
        <v>6.6198989999999922</v>
      </c>
      <c r="K20" s="27">
        <f t="shared" si="8"/>
        <v>0</v>
      </c>
      <c r="U20">
        <v>17</v>
      </c>
      <c r="V20">
        <v>300</v>
      </c>
      <c r="W20">
        <v>300</v>
      </c>
      <c r="X20">
        <v>300</v>
      </c>
      <c r="Y20" s="16">
        <f t="shared" si="3"/>
        <v>300</v>
      </c>
      <c r="Z20" s="16">
        <f t="shared" si="4"/>
        <v>0</v>
      </c>
    </row>
    <row r="21" spans="2:26" x14ac:dyDescent="0.35">
      <c r="B21" s="25">
        <v>18</v>
      </c>
      <c r="C21" s="26">
        <v>298.75599999999997</v>
      </c>
      <c r="D21" s="26">
        <v>297.76600000000002</v>
      </c>
      <c r="E21" s="27">
        <v>299.81</v>
      </c>
      <c r="F21" s="33">
        <f t="shared" si="0"/>
        <v>298.77733333333327</v>
      </c>
      <c r="G21" s="34">
        <f t="shared" si="1"/>
        <v>2.0439999999999827</v>
      </c>
      <c r="H21" s="25">
        <f t="shared" si="5"/>
        <v>302.06563960589625</v>
      </c>
      <c r="I21" s="26">
        <f t="shared" si="6"/>
        <v>297.61764928299266</v>
      </c>
      <c r="J21" s="26">
        <f t="shared" si="7"/>
        <v>6.6198989999999922</v>
      </c>
      <c r="K21" s="27">
        <f t="shared" si="8"/>
        <v>0</v>
      </c>
      <c r="U21">
        <v>18</v>
      </c>
      <c r="V21">
        <v>300</v>
      </c>
      <c r="W21">
        <v>300</v>
      </c>
      <c r="X21">
        <v>300</v>
      </c>
      <c r="Y21" s="16">
        <f t="shared" si="3"/>
        <v>300</v>
      </c>
      <c r="Z21" s="16">
        <f t="shared" si="4"/>
        <v>0</v>
      </c>
    </row>
    <row r="22" spans="2:26" x14ac:dyDescent="0.35">
      <c r="B22" s="25">
        <v>19</v>
      </c>
      <c r="C22" s="26">
        <v>298.40100000000001</v>
      </c>
      <c r="D22" s="26">
        <v>301.06099999999998</v>
      </c>
      <c r="E22" s="27">
        <v>300.68799999999999</v>
      </c>
      <c r="F22" s="33">
        <f t="shared" si="0"/>
        <v>300.05</v>
      </c>
      <c r="G22" s="34">
        <f t="shared" si="1"/>
        <v>2.6599999999999682</v>
      </c>
      <c r="H22" s="25">
        <f t="shared" si="5"/>
        <v>302.06563960589625</v>
      </c>
      <c r="I22" s="26">
        <f t="shared" si="6"/>
        <v>297.61764928299266</v>
      </c>
      <c r="J22" s="26">
        <f t="shared" si="7"/>
        <v>6.6198989999999922</v>
      </c>
      <c r="K22" s="27">
        <f t="shared" si="8"/>
        <v>0</v>
      </c>
      <c r="U22">
        <v>19</v>
      </c>
      <c r="V22">
        <v>300</v>
      </c>
      <c r="W22">
        <v>300</v>
      </c>
      <c r="X22">
        <v>300</v>
      </c>
      <c r="Y22" s="16">
        <f t="shared" si="3"/>
        <v>300</v>
      </c>
      <c r="Z22" s="16">
        <f t="shared" si="4"/>
        <v>0</v>
      </c>
    </row>
    <row r="23" spans="2:26" x14ac:dyDescent="0.35">
      <c r="B23" s="25">
        <v>20</v>
      </c>
      <c r="C23" s="26">
        <v>303.05099999999999</v>
      </c>
      <c r="D23" s="26">
        <v>299.37299999999999</v>
      </c>
      <c r="E23" s="27">
        <v>300.16199999999998</v>
      </c>
      <c r="F23" s="33">
        <f t="shared" si="0"/>
        <v>300.86200000000002</v>
      </c>
      <c r="G23" s="34">
        <f t="shared" si="1"/>
        <v>3.6779999999999973</v>
      </c>
      <c r="H23" s="25">
        <f t="shared" si="5"/>
        <v>302.06563960589625</v>
      </c>
      <c r="I23" s="26">
        <f t="shared" si="6"/>
        <v>297.61764928299266</v>
      </c>
      <c r="J23" s="26">
        <f t="shared" si="7"/>
        <v>6.6198989999999922</v>
      </c>
      <c r="K23" s="27">
        <f t="shared" si="8"/>
        <v>0</v>
      </c>
      <c r="U23">
        <v>20</v>
      </c>
      <c r="V23">
        <v>300</v>
      </c>
      <c r="W23">
        <v>300</v>
      </c>
      <c r="X23">
        <v>300</v>
      </c>
      <c r="Y23" s="16">
        <f t="shared" si="3"/>
        <v>300</v>
      </c>
      <c r="Z23" s="16">
        <f t="shared" si="4"/>
        <v>0</v>
      </c>
    </row>
    <row r="24" spans="2:26" x14ac:dyDescent="0.35">
      <c r="B24" s="25">
        <v>21</v>
      </c>
      <c r="C24" s="26">
        <v>298.42700000000002</v>
      </c>
      <c r="D24" s="26">
        <v>301.61399999999998</v>
      </c>
      <c r="E24" s="27">
        <v>302.03899999999999</v>
      </c>
      <c r="F24" s="33">
        <f t="shared" si="0"/>
        <v>300.69333333333333</v>
      </c>
      <c r="G24" s="34">
        <f t="shared" si="1"/>
        <v>3.6119999999999663</v>
      </c>
      <c r="H24" s="25">
        <f t="shared" si="5"/>
        <v>302.06563960589625</v>
      </c>
      <c r="I24" s="26">
        <f t="shared" si="6"/>
        <v>297.61764928299266</v>
      </c>
      <c r="J24" s="26">
        <f t="shared" si="7"/>
        <v>6.6198989999999922</v>
      </c>
      <c r="K24" s="27">
        <f t="shared" si="8"/>
        <v>0</v>
      </c>
      <c r="U24">
        <v>21</v>
      </c>
      <c r="V24">
        <v>300</v>
      </c>
      <c r="W24">
        <v>300</v>
      </c>
      <c r="X24">
        <v>300</v>
      </c>
      <c r="Y24" s="16">
        <f t="shared" si="3"/>
        <v>300</v>
      </c>
      <c r="Z24" s="16">
        <f t="shared" si="4"/>
        <v>0</v>
      </c>
    </row>
    <row r="25" spans="2:26" x14ac:dyDescent="0.35">
      <c r="B25" s="25">
        <v>22</v>
      </c>
      <c r="C25" s="26">
        <v>301.64400000000001</v>
      </c>
      <c r="D25" s="26">
        <v>300.35700000000003</v>
      </c>
      <c r="E25" s="27">
        <v>299.863</v>
      </c>
      <c r="F25" s="33">
        <f t="shared" si="0"/>
        <v>300.62133333333333</v>
      </c>
      <c r="G25" s="34">
        <f t="shared" si="1"/>
        <v>1.7810000000000059</v>
      </c>
      <c r="H25" s="25">
        <f t="shared" si="5"/>
        <v>302.06563960589625</v>
      </c>
      <c r="I25" s="26">
        <f t="shared" si="6"/>
        <v>297.61764928299266</v>
      </c>
      <c r="J25" s="26">
        <f t="shared" si="7"/>
        <v>6.6198989999999922</v>
      </c>
      <c r="K25" s="27">
        <f t="shared" si="8"/>
        <v>0</v>
      </c>
      <c r="U25">
        <v>22</v>
      </c>
      <c r="V25">
        <v>300</v>
      </c>
      <c r="W25">
        <v>300</v>
      </c>
      <c r="X25">
        <v>300</v>
      </c>
      <c r="Y25" s="16">
        <f t="shared" si="3"/>
        <v>300</v>
      </c>
      <c r="Z25" s="16">
        <f t="shared" si="4"/>
        <v>0</v>
      </c>
    </row>
    <row r="26" spans="2:26" x14ac:dyDescent="0.35">
      <c r="B26" s="25">
        <v>23</v>
      </c>
      <c r="C26" s="26">
        <v>298.23899999999998</v>
      </c>
      <c r="D26" s="26">
        <v>300.42700000000002</v>
      </c>
      <c r="E26" s="27">
        <v>297.75400000000002</v>
      </c>
      <c r="F26" s="33">
        <f t="shared" si="0"/>
        <v>298.80666666666667</v>
      </c>
      <c r="G26" s="34">
        <f t="shared" si="1"/>
        <v>2.6730000000000018</v>
      </c>
      <c r="H26" s="25">
        <f t="shared" si="5"/>
        <v>302.06563960589625</v>
      </c>
      <c r="I26" s="26">
        <f t="shared" si="6"/>
        <v>297.61764928299266</v>
      </c>
      <c r="J26" s="26">
        <f t="shared" si="7"/>
        <v>6.6198989999999922</v>
      </c>
      <c r="K26" s="27">
        <f t="shared" si="8"/>
        <v>0</v>
      </c>
      <c r="U26">
        <v>23</v>
      </c>
      <c r="V26">
        <v>300</v>
      </c>
      <c r="W26">
        <v>300</v>
      </c>
      <c r="X26">
        <v>300</v>
      </c>
      <c r="Y26" s="16">
        <f t="shared" si="3"/>
        <v>300</v>
      </c>
      <c r="Z26" s="16">
        <f t="shared" si="4"/>
        <v>0</v>
      </c>
    </row>
    <row r="27" spans="2:26" x14ac:dyDescent="0.35">
      <c r="B27" s="25">
        <v>24</v>
      </c>
      <c r="C27" s="26">
        <v>300.447</v>
      </c>
      <c r="D27" s="26">
        <v>301.97800000000001</v>
      </c>
      <c r="E27" s="27">
        <v>300.21199999999999</v>
      </c>
      <c r="F27" s="33">
        <f t="shared" si="0"/>
        <v>300.87899999999996</v>
      </c>
      <c r="G27" s="34">
        <f t="shared" si="1"/>
        <v>1.7660000000000196</v>
      </c>
      <c r="H27" s="25">
        <f t="shared" si="5"/>
        <v>302.06563960589625</v>
      </c>
      <c r="I27" s="26">
        <f t="shared" si="6"/>
        <v>297.61764928299266</v>
      </c>
      <c r="J27" s="26">
        <f t="shared" si="7"/>
        <v>6.6198989999999922</v>
      </c>
      <c r="K27" s="27">
        <f t="shared" si="8"/>
        <v>0</v>
      </c>
      <c r="U27">
        <v>24</v>
      </c>
      <c r="V27">
        <v>300</v>
      </c>
      <c r="W27">
        <v>300</v>
      </c>
      <c r="X27">
        <v>300</v>
      </c>
      <c r="Y27" s="16">
        <f t="shared" si="3"/>
        <v>300</v>
      </c>
      <c r="Z27" s="16">
        <f t="shared" si="4"/>
        <v>0</v>
      </c>
    </row>
    <row r="28" spans="2:26" x14ac:dyDescent="0.35">
      <c r="B28" s="25">
        <v>25</v>
      </c>
      <c r="C28" s="26">
        <v>298.029</v>
      </c>
      <c r="D28" s="26">
        <v>299.55200000000002</v>
      </c>
      <c r="E28" s="27">
        <v>300.28500000000003</v>
      </c>
      <c r="F28" s="33">
        <f t="shared" si="0"/>
        <v>299.28866666666664</v>
      </c>
      <c r="G28" s="34">
        <f t="shared" si="1"/>
        <v>2.2560000000000286</v>
      </c>
      <c r="H28" s="25">
        <f t="shared" si="5"/>
        <v>302.06563960589625</v>
      </c>
      <c r="I28" s="26">
        <f t="shared" si="6"/>
        <v>297.61764928299266</v>
      </c>
      <c r="J28" s="26">
        <f t="shared" si="7"/>
        <v>6.6198989999999922</v>
      </c>
      <c r="K28" s="27">
        <f t="shared" si="8"/>
        <v>0</v>
      </c>
      <c r="U28">
        <v>25</v>
      </c>
      <c r="V28">
        <v>300</v>
      </c>
      <c r="W28">
        <v>300</v>
      </c>
      <c r="X28">
        <v>300</v>
      </c>
      <c r="Y28" s="16">
        <f t="shared" si="3"/>
        <v>300</v>
      </c>
      <c r="Z28" s="16">
        <f t="shared" si="4"/>
        <v>0</v>
      </c>
    </row>
    <row r="29" spans="2:26" x14ac:dyDescent="0.35">
      <c r="B29" s="25">
        <v>26</v>
      </c>
      <c r="C29" s="26">
        <v>300.935</v>
      </c>
      <c r="D29" s="26">
        <v>299.78300000000002</v>
      </c>
      <c r="E29" s="27">
        <v>300.661</v>
      </c>
      <c r="F29" s="33">
        <f t="shared" si="0"/>
        <v>300.45966666666669</v>
      </c>
      <c r="G29" s="34">
        <f t="shared" si="1"/>
        <v>1.1519999999999868</v>
      </c>
      <c r="H29" s="25">
        <f t="shared" si="5"/>
        <v>302.06563960589625</v>
      </c>
      <c r="I29" s="26">
        <f t="shared" si="6"/>
        <v>297.61764928299266</v>
      </c>
      <c r="J29" s="26">
        <f t="shared" si="7"/>
        <v>6.6198989999999922</v>
      </c>
      <c r="K29" s="27">
        <f t="shared" si="8"/>
        <v>0</v>
      </c>
      <c r="U29">
        <v>26</v>
      </c>
      <c r="V29">
        <v>300</v>
      </c>
      <c r="W29">
        <v>300</v>
      </c>
      <c r="X29">
        <v>300</v>
      </c>
      <c r="Y29" s="16">
        <f t="shared" si="3"/>
        <v>300</v>
      </c>
      <c r="Z29" s="16">
        <f t="shared" si="4"/>
        <v>0</v>
      </c>
    </row>
    <row r="30" spans="2:26" x14ac:dyDescent="0.35">
      <c r="B30" s="25">
        <v>27</v>
      </c>
      <c r="C30" s="26">
        <v>298.13099999999997</v>
      </c>
      <c r="D30" s="26">
        <v>297.92899999999997</v>
      </c>
      <c r="E30" s="27">
        <v>300.93900000000002</v>
      </c>
      <c r="F30" s="33">
        <f t="shared" si="0"/>
        <v>298.99966666666666</v>
      </c>
      <c r="G30" s="34">
        <f t="shared" si="1"/>
        <v>3.0100000000000477</v>
      </c>
      <c r="H30" s="25">
        <f t="shared" si="5"/>
        <v>302.06563960589625</v>
      </c>
      <c r="I30" s="26">
        <f t="shared" si="6"/>
        <v>297.61764928299266</v>
      </c>
      <c r="J30" s="26">
        <f t="shared" si="7"/>
        <v>6.6198989999999922</v>
      </c>
      <c r="K30" s="27">
        <f t="shared" si="8"/>
        <v>0</v>
      </c>
      <c r="U30">
        <v>27</v>
      </c>
      <c r="V30">
        <v>300</v>
      </c>
      <c r="W30">
        <v>300</v>
      </c>
      <c r="X30">
        <v>300</v>
      </c>
      <c r="Y30" s="16">
        <f t="shared" si="3"/>
        <v>300</v>
      </c>
      <c r="Z30" s="16">
        <f t="shared" si="4"/>
        <v>0</v>
      </c>
    </row>
    <row r="31" spans="2:26" x14ac:dyDescent="0.35">
      <c r="B31" s="25">
        <v>28</v>
      </c>
      <c r="C31" s="26">
        <v>301.55399999999997</v>
      </c>
      <c r="D31" s="26">
        <v>297.28800000000001</v>
      </c>
      <c r="E31" s="27">
        <v>302.19</v>
      </c>
      <c r="F31" s="33">
        <f t="shared" si="0"/>
        <v>300.34399999999999</v>
      </c>
      <c r="G31" s="34">
        <f t="shared" si="1"/>
        <v>4.9019999999999868</v>
      </c>
      <c r="H31" s="25">
        <f t="shared" si="5"/>
        <v>302.06563960589625</v>
      </c>
      <c r="I31" s="26">
        <f t="shared" si="6"/>
        <v>297.61764928299266</v>
      </c>
      <c r="J31" s="26">
        <f t="shared" si="7"/>
        <v>6.6198989999999922</v>
      </c>
      <c r="K31" s="27">
        <f t="shared" si="8"/>
        <v>0</v>
      </c>
      <c r="U31">
        <v>28</v>
      </c>
      <c r="V31">
        <v>300</v>
      </c>
      <c r="W31">
        <v>300</v>
      </c>
      <c r="X31">
        <v>300</v>
      </c>
      <c r="Y31" s="16">
        <f t="shared" si="3"/>
        <v>300</v>
      </c>
      <c r="Z31" s="16">
        <f t="shared" si="4"/>
        <v>0</v>
      </c>
    </row>
    <row r="32" spans="2:26" x14ac:dyDescent="0.35">
      <c r="B32" s="25">
        <v>29</v>
      </c>
      <c r="C32" s="26">
        <v>300.24400000000003</v>
      </c>
      <c r="D32" s="26">
        <v>298.85300000000001</v>
      </c>
      <c r="E32" s="27">
        <v>299.19799999999998</v>
      </c>
      <c r="F32" s="33">
        <f t="shared" si="0"/>
        <v>299.43166666666667</v>
      </c>
      <c r="G32" s="34">
        <f t="shared" si="1"/>
        <v>1.3910000000000196</v>
      </c>
      <c r="H32" s="25">
        <f t="shared" si="5"/>
        <v>302.06563960589625</v>
      </c>
      <c r="I32" s="26">
        <f t="shared" si="6"/>
        <v>297.61764928299266</v>
      </c>
      <c r="J32" s="26">
        <f t="shared" si="7"/>
        <v>6.6198989999999922</v>
      </c>
      <c r="K32" s="27">
        <f t="shared" si="8"/>
        <v>0</v>
      </c>
      <c r="U32">
        <v>29</v>
      </c>
      <c r="V32">
        <v>300</v>
      </c>
      <c r="W32">
        <v>300</v>
      </c>
      <c r="X32">
        <v>300</v>
      </c>
      <c r="Y32" s="16">
        <f t="shared" si="3"/>
        <v>300</v>
      </c>
      <c r="Z32" s="16">
        <f t="shared" si="4"/>
        <v>0</v>
      </c>
    </row>
    <row r="33" spans="2:26" ht="15" thickBot="1" x14ac:dyDescent="0.4">
      <c r="B33" s="28">
        <v>30</v>
      </c>
      <c r="C33" s="29">
        <v>297.56900000000002</v>
      </c>
      <c r="D33" s="29">
        <v>300.45800000000003</v>
      </c>
      <c r="E33" s="30">
        <v>300.50299999999999</v>
      </c>
      <c r="F33" s="35">
        <f t="shared" si="0"/>
        <v>299.51</v>
      </c>
      <c r="G33" s="36">
        <f t="shared" si="1"/>
        <v>2.9339999999999691</v>
      </c>
      <c r="H33" s="28">
        <f t="shared" si="5"/>
        <v>302.06563960589625</v>
      </c>
      <c r="I33" s="29">
        <f t="shared" si="6"/>
        <v>297.61764928299266</v>
      </c>
      <c r="J33" s="29">
        <f t="shared" si="7"/>
        <v>6.6198989999999922</v>
      </c>
      <c r="K33" s="30">
        <f t="shared" si="8"/>
        <v>0</v>
      </c>
      <c r="U33">
        <v>30</v>
      </c>
      <c r="V33">
        <v>300</v>
      </c>
      <c r="W33">
        <v>300</v>
      </c>
      <c r="X33">
        <v>300</v>
      </c>
      <c r="Y33" s="16">
        <f t="shared" si="3"/>
        <v>300</v>
      </c>
      <c r="Z33" s="16">
        <f t="shared" si="4"/>
        <v>0</v>
      </c>
    </row>
    <row r="34" spans="2:26" x14ac:dyDescent="0.35">
      <c r="E34" s="37" t="s">
        <v>28</v>
      </c>
      <c r="F34" s="38">
        <f>AVERAGE(F4:F33)</f>
        <v>299.84164444444446</v>
      </c>
      <c r="G34" s="38">
        <f>AVERAGE(G4:G33)</f>
        <v>2.5718333333333305</v>
      </c>
      <c r="H34" s="39"/>
      <c r="I34" s="40"/>
    </row>
    <row r="35" spans="2:26" x14ac:dyDescent="0.35">
      <c r="E35" s="25" t="s">
        <v>29</v>
      </c>
      <c r="F35" s="41">
        <f>STDEV(F4:F33)</f>
        <v>0.74133172048393026</v>
      </c>
      <c r="G35" s="42" t="s">
        <v>35</v>
      </c>
      <c r="H35" s="23" t="s">
        <v>30</v>
      </c>
      <c r="I35" s="24" t="s">
        <v>31</v>
      </c>
    </row>
    <row r="36" spans="2:26" x14ac:dyDescent="0.35">
      <c r="E36" s="25" t="s">
        <v>21</v>
      </c>
      <c r="F36" s="26">
        <f>F34+3*F35</f>
        <v>302.06563960589625</v>
      </c>
      <c r="G36" s="26">
        <f>H36*G34</f>
        <v>6.6198989999999922</v>
      </c>
      <c r="H36" s="26">
        <v>2.5739999999999998</v>
      </c>
      <c r="I36" s="27">
        <v>0</v>
      </c>
    </row>
    <row r="37" spans="2:26" ht="15" thickBot="1" x14ac:dyDescent="0.4">
      <c r="E37" s="28" t="s">
        <v>22</v>
      </c>
      <c r="F37" s="29">
        <f>F34-3*F35</f>
        <v>297.61764928299266</v>
      </c>
      <c r="G37" s="29">
        <f>I36*G34</f>
        <v>0</v>
      </c>
      <c r="H37" s="29"/>
      <c r="I37" s="30"/>
    </row>
  </sheetData>
  <mergeCells count="7">
    <mergeCell ref="Y2:Z2"/>
    <mergeCell ref="C2:E2"/>
    <mergeCell ref="F2:G2"/>
    <mergeCell ref="H2:K2"/>
    <mergeCell ref="B2:B3"/>
    <mergeCell ref="U2:U3"/>
    <mergeCell ref="V2:X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F9B7-026B-408F-B8AD-5A96C965CC03}">
  <dimension ref="B2:F36"/>
  <sheetViews>
    <sheetView zoomScale="80" zoomScaleNormal="80" workbookViewId="0">
      <selection activeCell="T12" sqref="T11:T12"/>
    </sheetView>
  </sheetViews>
  <sheetFormatPr defaultRowHeight="14.5" x14ac:dyDescent="0.35"/>
  <cols>
    <col min="3" max="3" width="10.26953125" customWidth="1"/>
    <col min="4" max="4" width="10.90625" customWidth="1"/>
    <col min="5" max="5" width="10.36328125" customWidth="1"/>
  </cols>
  <sheetData>
    <row r="2" spans="2:6" x14ac:dyDescent="0.35">
      <c r="B2" t="s">
        <v>0</v>
      </c>
      <c r="C2" s="1" t="s">
        <v>18</v>
      </c>
      <c r="D2" s="1" t="s">
        <v>19</v>
      </c>
      <c r="E2" s="1" t="s">
        <v>21</v>
      </c>
      <c r="F2" s="1" t="s">
        <v>22</v>
      </c>
    </row>
    <row r="3" spans="2:6" x14ac:dyDescent="0.35">
      <c r="B3">
        <v>1</v>
      </c>
      <c r="C3">
        <v>299.35899999999998</v>
      </c>
      <c r="D3">
        <v>300</v>
      </c>
      <c r="E3" s="16">
        <f>C35</f>
        <v>304.8495165115653</v>
      </c>
      <c r="F3" s="16">
        <f>C36</f>
        <v>295.07288348843485</v>
      </c>
    </row>
    <row r="4" spans="2:6" x14ac:dyDescent="0.35">
      <c r="B4">
        <v>2</v>
      </c>
      <c r="C4">
        <v>298.68200000000002</v>
      </c>
      <c r="D4">
        <v>300</v>
      </c>
      <c r="E4" s="16">
        <f>E3</f>
        <v>304.8495165115653</v>
      </c>
      <c r="F4" s="16">
        <f>F3</f>
        <v>295.07288348843485</v>
      </c>
    </row>
    <row r="5" spans="2:6" x14ac:dyDescent="0.35">
      <c r="B5">
        <v>3</v>
      </c>
      <c r="C5">
        <v>300.55799999999999</v>
      </c>
      <c r="D5">
        <v>300</v>
      </c>
      <c r="E5" s="16">
        <f t="shared" ref="E5:E32" si="0">E4</f>
        <v>304.8495165115653</v>
      </c>
      <c r="F5" s="16">
        <f t="shared" ref="F5:F32" si="1">F4</f>
        <v>295.07288348843485</v>
      </c>
    </row>
    <row r="6" spans="2:6" x14ac:dyDescent="0.35">
      <c r="B6">
        <v>4</v>
      </c>
      <c r="C6">
        <v>298.96600000000001</v>
      </c>
      <c r="D6">
        <v>300</v>
      </c>
      <c r="E6" s="16">
        <f t="shared" si="0"/>
        <v>304.8495165115653</v>
      </c>
      <c r="F6" s="16">
        <f t="shared" si="1"/>
        <v>295.07288348843485</v>
      </c>
    </row>
    <row r="7" spans="2:6" x14ac:dyDescent="0.35">
      <c r="B7">
        <v>5</v>
      </c>
      <c r="C7">
        <v>300.142</v>
      </c>
      <c r="D7">
        <v>300</v>
      </c>
      <c r="E7" s="16">
        <f t="shared" si="0"/>
        <v>304.8495165115653</v>
      </c>
      <c r="F7" s="16">
        <f t="shared" si="1"/>
        <v>295.07288348843485</v>
      </c>
    </row>
    <row r="8" spans="2:6" x14ac:dyDescent="0.35">
      <c r="B8">
        <v>6</v>
      </c>
      <c r="C8">
        <v>299.274</v>
      </c>
      <c r="D8">
        <v>300</v>
      </c>
      <c r="E8" s="16">
        <f t="shared" si="0"/>
        <v>304.8495165115653</v>
      </c>
      <c r="F8" s="16">
        <f t="shared" si="1"/>
        <v>295.07288348843485</v>
      </c>
    </row>
    <row r="9" spans="2:6" x14ac:dyDescent="0.35">
      <c r="B9">
        <v>7</v>
      </c>
      <c r="C9">
        <v>300.08499999999998</v>
      </c>
      <c r="D9">
        <v>300</v>
      </c>
      <c r="E9" s="16">
        <f t="shared" si="0"/>
        <v>304.8495165115653</v>
      </c>
      <c r="F9" s="16">
        <f t="shared" si="1"/>
        <v>295.07288348843485</v>
      </c>
    </row>
    <row r="10" spans="2:6" x14ac:dyDescent="0.35">
      <c r="B10">
        <v>8</v>
      </c>
      <c r="C10">
        <v>301.74700000000001</v>
      </c>
      <c r="D10">
        <v>300</v>
      </c>
      <c r="E10" s="16">
        <f t="shared" si="0"/>
        <v>304.8495165115653</v>
      </c>
      <c r="F10" s="16">
        <f t="shared" si="1"/>
        <v>295.07288348843485</v>
      </c>
    </row>
    <row r="11" spans="2:6" x14ac:dyDescent="0.35">
      <c r="B11">
        <v>9</v>
      </c>
      <c r="C11">
        <v>299.45400000000001</v>
      </c>
      <c r="D11">
        <v>300</v>
      </c>
      <c r="E11" s="16">
        <f t="shared" si="0"/>
        <v>304.8495165115653</v>
      </c>
      <c r="F11" s="16">
        <f t="shared" si="1"/>
        <v>295.07288348843485</v>
      </c>
    </row>
    <row r="12" spans="2:6" x14ac:dyDescent="0.35">
      <c r="B12">
        <v>10</v>
      </c>
      <c r="C12">
        <v>299.28899999999999</v>
      </c>
      <c r="D12">
        <v>300</v>
      </c>
      <c r="E12" s="16">
        <f t="shared" si="0"/>
        <v>304.8495165115653</v>
      </c>
      <c r="F12" s="16">
        <f t="shared" si="1"/>
        <v>295.07288348843485</v>
      </c>
    </row>
    <row r="13" spans="2:6" x14ac:dyDescent="0.35">
      <c r="B13">
        <v>11</v>
      </c>
      <c r="C13">
        <v>299.33600000000001</v>
      </c>
      <c r="D13">
        <v>300</v>
      </c>
      <c r="E13" s="16">
        <f t="shared" si="0"/>
        <v>304.8495165115653</v>
      </c>
      <c r="F13" s="16">
        <f t="shared" si="1"/>
        <v>295.07288348843485</v>
      </c>
    </row>
    <row r="14" spans="2:6" x14ac:dyDescent="0.35">
      <c r="B14">
        <v>12</v>
      </c>
      <c r="C14">
        <v>297.58800000000002</v>
      </c>
      <c r="D14">
        <v>300</v>
      </c>
      <c r="E14" s="16">
        <f t="shared" si="0"/>
        <v>304.8495165115653</v>
      </c>
      <c r="F14" s="16">
        <f t="shared" si="1"/>
        <v>295.07288348843485</v>
      </c>
    </row>
    <row r="15" spans="2:6" x14ac:dyDescent="0.35">
      <c r="B15">
        <v>13</v>
      </c>
      <c r="C15">
        <v>303.55799999999999</v>
      </c>
      <c r="D15">
        <v>300</v>
      </c>
      <c r="E15" s="16">
        <f t="shared" si="0"/>
        <v>304.8495165115653</v>
      </c>
      <c r="F15" s="16">
        <f t="shared" si="1"/>
        <v>295.07288348843485</v>
      </c>
    </row>
    <row r="16" spans="2:6" x14ac:dyDescent="0.35">
      <c r="B16">
        <v>14</v>
      </c>
      <c r="C16">
        <v>300.44900000000001</v>
      </c>
      <c r="D16">
        <v>300</v>
      </c>
      <c r="E16" s="16">
        <f t="shared" si="0"/>
        <v>304.8495165115653</v>
      </c>
      <c r="F16" s="16">
        <f t="shared" si="1"/>
        <v>295.07288348843485</v>
      </c>
    </row>
    <row r="17" spans="2:6" x14ac:dyDescent="0.35">
      <c r="B17">
        <v>15</v>
      </c>
      <c r="C17">
        <v>303.02100000000002</v>
      </c>
      <c r="D17">
        <v>300</v>
      </c>
      <c r="E17" s="16">
        <f t="shared" si="0"/>
        <v>304.8495165115653</v>
      </c>
      <c r="F17" s="16">
        <f t="shared" si="1"/>
        <v>295.07288348843485</v>
      </c>
    </row>
    <row r="18" spans="2:6" x14ac:dyDescent="0.35">
      <c r="B18">
        <v>16</v>
      </c>
      <c r="C18">
        <v>301.46199999999999</v>
      </c>
      <c r="D18">
        <v>300</v>
      </c>
      <c r="E18" s="16">
        <f t="shared" si="0"/>
        <v>304.8495165115653</v>
      </c>
      <c r="F18" s="16">
        <f t="shared" si="1"/>
        <v>295.07288348843485</v>
      </c>
    </row>
    <row r="19" spans="2:6" x14ac:dyDescent="0.35">
      <c r="B19">
        <v>17</v>
      </c>
      <c r="C19">
        <v>300.43900000000002</v>
      </c>
      <c r="D19">
        <v>300</v>
      </c>
      <c r="E19" s="16">
        <f t="shared" si="0"/>
        <v>304.8495165115653</v>
      </c>
      <c r="F19" s="16">
        <f t="shared" si="1"/>
        <v>295.07288348843485</v>
      </c>
    </row>
    <row r="20" spans="2:6" x14ac:dyDescent="0.35">
      <c r="B20">
        <v>18</v>
      </c>
      <c r="C20">
        <v>298.75599999999997</v>
      </c>
      <c r="D20">
        <v>300</v>
      </c>
      <c r="E20" s="16">
        <f t="shared" si="0"/>
        <v>304.8495165115653</v>
      </c>
      <c r="F20" s="16">
        <f t="shared" si="1"/>
        <v>295.07288348843485</v>
      </c>
    </row>
    <row r="21" spans="2:6" x14ac:dyDescent="0.35">
      <c r="B21">
        <v>19</v>
      </c>
      <c r="C21">
        <v>298.40100000000001</v>
      </c>
      <c r="D21">
        <v>300</v>
      </c>
      <c r="E21" s="16">
        <f t="shared" si="0"/>
        <v>304.8495165115653</v>
      </c>
      <c r="F21" s="16">
        <f t="shared" si="1"/>
        <v>295.07288348843485</v>
      </c>
    </row>
    <row r="22" spans="2:6" x14ac:dyDescent="0.35">
      <c r="B22">
        <v>20</v>
      </c>
      <c r="C22">
        <v>303.05099999999999</v>
      </c>
      <c r="D22">
        <v>300</v>
      </c>
      <c r="E22" s="16">
        <f t="shared" si="0"/>
        <v>304.8495165115653</v>
      </c>
      <c r="F22" s="16">
        <f t="shared" si="1"/>
        <v>295.07288348843485</v>
      </c>
    </row>
    <row r="23" spans="2:6" x14ac:dyDescent="0.35">
      <c r="B23">
        <v>21</v>
      </c>
      <c r="C23">
        <v>298.42700000000002</v>
      </c>
      <c r="D23">
        <v>300</v>
      </c>
      <c r="E23" s="16">
        <f t="shared" si="0"/>
        <v>304.8495165115653</v>
      </c>
      <c r="F23" s="16">
        <f t="shared" si="1"/>
        <v>295.07288348843485</v>
      </c>
    </row>
    <row r="24" spans="2:6" x14ac:dyDescent="0.35">
      <c r="B24">
        <v>22</v>
      </c>
      <c r="C24">
        <v>301.64400000000001</v>
      </c>
      <c r="D24">
        <v>300</v>
      </c>
      <c r="E24" s="16">
        <f t="shared" si="0"/>
        <v>304.8495165115653</v>
      </c>
      <c r="F24" s="16">
        <f t="shared" si="1"/>
        <v>295.07288348843485</v>
      </c>
    </row>
    <row r="25" spans="2:6" x14ac:dyDescent="0.35">
      <c r="B25">
        <v>23</v>
      </c>
      <c r="C25">
        <v>298.23899999999998</v>
      </c>
      <c r="D25">
        <v>300</v>
      </c>
      <c r="E25" s="16">
        <f t="shared" si="0"/>
        <v>304.8495165115653</v>
      </c>
      <c r="F25" s="16">
        <f t="shared" si="1"/>
        <v>295.07288348843485</v>
      </c>
    </row>
    <row r="26" spans="2:6" x14ac:dyDescent="0.35">
      <c r="B26">
        <v>24</v>
      </c>
      <c r="C26">
        <v>300.447</v>
      </c>
      <c r="D26">
        <v>300</v>
      </c>
      <c r="E26" s="16">
        <f t="shared" si="0"/>
        <v>304.8495165115653</v>
      </c>
      <c r="F26" s="16">
        <f t="shared" si="1"/>
        <v>295.07288348843485</v>
      </c>
    </row>
    <row r="27" spans="2:6" x14ac:dyDescent="0.35">
      <c r="B27">
        <v>25</v>
      </c>
      <c r="C27">
        <v>298.029</v>
      </c>
      <c r="D27">
        <v>300</v>
      </c>
      <c r="E27" s="16">
        <f t="shared" si="0"/>
        <v>304.8495165115653</v>
      </c>
      <c r="F27" s="16">
        <f t="shared" si="1"/>
        <v>295.07288348843485</v>
      </c>
    </row>
    <row r="28" spans="2:6" x14ac:dyDescent="0.35">
      <c r="B28">
        <v>26</v>
      </c>
      <c r="C28">
        <v>300.935</v>
      </c>
      <c r="D28">
        <v>300</v>
      </c>
      <c r="E28" s="16">
        <f t="shared" si="0"/>
        <v>304.8495165115653</v>
      </c>
      <c r="F28" s="16">
        <f t="shared" si="1"/>
        <v>295.07288348843485</v>
      </c>
    </row>
    <row r="29" spans="2:6" x14ac:dyDescent="0.35">
      <c r="B29">
        <v>27</v>
      </c>
      <c r="C29">
        <v>298.13099999999997</v>
      </c>
      <c r="D29">
        <v>300</v>
      </c>
      <c r="E29" s="16">
        <f t="shared" si="0"/>
        <v>304.8495165115653</v>
      </c>
      <c r="F29" s="16">
        <f t="shared" si="1"/>
        <v>295.07288348843485</v>
      </c>
    </row>
    <row r="30" spans="2:6" x14ac:dyDescent="0.35">
      <c r="B30">
        <v>28</v>
      </c>
      <c r="C30">
        <v>301.55399999999997</v>
      </c>
      <c r="D30">
        <v>300</v>
      </c>
      <c r="E30" s="16">
        <f t="shared" si="0"/>
        <v>304.8495165115653</v>
      </c>
      <c r="F30" s="16">
        <f t="shared" si="1"/>
        <v>295.07288348843485</v>
      </c>
    </row>
    <row r="31" spans="2:6" x14ac:dyDescent="0.35">
      <c r="B31">
        <v>29</v>
      </c>
      <c r="C31">
        <v>300.24400000000003</v>
      </c>
      <c r="D31">
        <v>300</v>
      </c>
      <c r="E31" s="16">
        <f t="shared" si="0"/>
        <v>304.8495165115653</v>
      </c>
      <c r="F31" s="16">
        <f t="shared" si="1"/>
        <v>295.07288348843485</v>
      </c>
    </row>
    <row r="32" spans="2:6" x14ac:dyDescent="0.35">
      <c r="B32">
        <v>30</v>
      </c>
      <c r="C32">
        <v>297.56900000000002</v>
      </c>
      <c r="D32">
        <v>300</v>
      </c>
      <c r="E32" s="16">
        <f t="shared" si="0"/>
        <v>304.8495165115653</v>
      </c>
      <c r="F32" s="16">
        <f t="shared" si="1"/>
        <v>295.07288348843485</v>
      </c>
    </row>
    <row r="33" spans="2:3" x14ac:dyDescent="0.35">
      <c r="B33" t="s">
        <v>1</v>
      </c>
      <c r="C33" s="16">
        <f>AVERAGE(C3:C32)</f>
        <v>299.96120000000008</v>
      </c>
    </row>
    <row r="34" spans="2:3" x14ac:dyDescent="0.35">
      <c r="B34" t="s">
        <v>20</v>
      </c>
      <c r="C34" s="16">
        <f>STDEV(C3:C32)</f>
        <v>1.629438837188413</v>
      </c>
    </row>
    <row r="35" spans="2:3" x14ac:dyDescent="0.35">
      <c r="B35" t="s">
        <v>21</v>
      </c>
      <c r="C35" s="16">
        <f>C33+3*C34</f>
        <v>304.8495165115653</v>
      </c>
    </row>
    <row r="36" spans="2:3" x14ac:dyDescent="0.35">
      <c r="B36" t="s">
        <v>22</v>
      </c>
      <c r="C36" s="16">
        <f>C33-3*C34</f>
        <v>295.07288348843485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9" ma:contentTypeDescription="Create a new document." ma:contentTypeScope="" ma:versionID="ca63c116f1827a1c4d1b542920d08820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781896738bc278f318ecdace8962a1e4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27e238-0a81-467a-8901-2cfca3d104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a83df56-58c1-43b2-b33a-c8131b8ac3d3}" ma:internalName="TaxCatchAll" ma:showField="CatchAllData" ma:web="86a228e2-0634-4da6-a88c-7b00a19e9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9cf8cd-a0da-421d-a294-c24d9e769054">
      <Terms xmlns="http://schemas.microsoft.com/office/infopath/2007/PartnerControls"/>
    </lcf76f155ced4ddcb4097134ff3c332f>
    <TaxCatchAll xmlns="86a228e2-0634-4da6-a88c-7b00a19e9767" xsi:nil="true"/>
  </documentManagement>
</p:properties>
</file>

<file path=customXml/itemProps1.xml><?xml version="1.0" encoding="utf-8"?>
<ds:datastoreItem xmlns:ds="http://schemas.openxmlformats.org/officeDocument/2006/customXml" ds:itemID="{8AA2059F-7D2E-4C2F-9A37-BCB363244980}"/>
</file>

<file path=customXml/itemProps2.xml><?xml version="1.0" encoding="utf-8"?>
<ds:datastoreItem xmlns:ds="http://schemas.openxmlformats.org/officeDocument/2006/customXml" ds:itemID="{E13FB152-6C15-4DAE-A479-41CFFBC4A6FA}"/>
</file>

<file path=customXml/itemProps3.xml><?xml version="1.0" encoding="utf-8"?>
<ds:datastoreItem xmlns:ds="http://schemas.openxmlformats.org/officeDocument/2006/customXml" ds:itemID="{61B16104-6DED-4A6F-8C4A-9DF896D29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4-PHASE I</vt:lpstr>
      <vt:lpstr>SPC1</vt:lpstr>
      <vt:lpstr>SPC2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devi Rajabalan</dc:creator>
  <cp:lastModifiedBy>Mohd Yusri Mohd Yunus</cp:lastModifiedBy>
  <dcterms:created xsi:type="dcterms:W3CDTF">2022-06-19T18:48:33Z</dcterms:created>
  <dcterms:modified xsi:type="dcterms:W3CDTF">2023-01-10T02:46:17Z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</Properties>
</file>