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iangc\Desktop\Embedded AI\Final\"/>
    </mc:Choice>
  </mc:AlternateContent>
  <xr:revisionPtr revIDLastSave="0" documentId="13_ncr:1_{161A753A-94CB-4352-A25D-C6F214C7A6BB}" xr6:coauthVersionLast="46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nv_PlantData_Historian_Outlet" sheetId="1" r:id="rId1"/>
  </sheets>
  <definedNames>
    <definedName name="_xlnm._FilterDatabase" localSheetId="0" hidden="1">Conv_PlantData_Historian_Outlet!$A$3:$Q$114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17" i="1" l="1"/>
  <c r="P117" i="1"/>
  <c r="N117" i="1"/>
  <c r="L117" i="1"/>
  <c r="X116" i="1"/>
  <c r="V116" i="1"/>
  <c r="T116" i="1"/>
  <c r="R116" i="1"/>
  <c r="P116" i="1"/>
  <c r="N116" i="1"/>
  <c r="L116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R15" i="1"/>
  <c r="P15" i="1"/>
  <c r="N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5" i="1"/>
  <c r="M116" i="1" l="1"/>
  <c r="O116" i="1"/>
  <c r="Q116" i="1"/>
  <c r="K116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6" i="1" s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Z15" i="1"/>
  <c r="X15" i="1"/>
  <c r="V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5" i="1"/>
</calcChain>
</file>

<file path=xl/sharedStrings.xml><?xml version="1.0" encoding="utf-8"?>
<sst xmlns="http://schemas.openxmlformats.org/spreadsheetml/2006/main" count="108" uniqueCount="54">
  <si>
    <t>Plant Data from Real Time Data Historian</t>
  </si>
  <si>
    <t>Tag Name</t>
  </si>
  <si>
    <t>001:A1005.PV</t>
  </si>
  <si>
    <t>001:A1006.PV</t>
  </si>
  <si>
    <t>001:A1007.PV</t>
  </si>
  <si>
    <t>Description</t>
  </si>
  <si>
    <t>Unit of Measure</t>
  </si>
  <si>
    <t>Unit</t>
  </si>
  <si>
    <t>Tag Type</t>
  </si>
  <si>
    <t>DCS</t>
  </si>
  <si>
    <t>Source Device</t>
  </si>
  <si>
    <t>MAN5</t>
  </si>
  <si>
    <t>Lower Bound (Optional)</t>
  </si>
  <si>
    <t>Upper Bound (Optional)</t>
  </si>
  <si>
    <t>Override Tag</t>
  </si>
  <si>
    <t>Data Type</t>
  </si>
  <si>
    <t>Override</t>
  </si>
  <si>
    <t>Tag/Value</t>
  </si>
  <si>
    <t>Float</t>
  </si>
  <si>
    <t>Override Value(decimal)</t>
  </si>
  <si>
    <t>Override Value(string)</t>
  </si>
  <si>
    <t>Data Set</t>
  </si>
  <si>
    <t>Start Date &amp; Time</t>
  </si>
  <si>
    <t>End Date &amp; Time</t>
  </si>
  <si>
    <t>Average Period (hr)</t>
  </si>
  <si>
    <t>Notes 1</t>
  </si>
  <si>
    <t>Notes 2</t>
  </si>
  <si>
    <t>Notes 3</t>
  </si>
  <si>
    <t>Value</t>
  </si>
  <si>
    <t>001:A1008.PV</t>
  </si>
  <si>
    <t>001:A1009.PV</t>
  </si>
  <si>
    <t>001:A1010.PV</t>
  </si>
  <si>
    <t>F</t>
  </si>
  <si>
    <t>Reactor Temperature</t>
  </si>
  <si>
    <t>Reactor Pressure</t>
  </si>
  <si>
    <t>psia</t>
  </si>
  <si>
    <t>CO Mole Frac</t>
  </si>
  <si>
    <t>H2 Mole Frac</t>
  </si>
  <si>
    <t>fract.</t>
  </si>
  <si>
    <t>CO</t>
  </si>
  <si>
    <t>H2</t>
  </si>
  <si>
    <t>H2O</t>
  </si>
  <si>
    <t>CH4</t>
  </si>
  <si>
    <t>CH4 Mole Frac</t>
  </si>
  <si>
    <t>001:A1011.PV</t>
  </si>
  <si>
    <t>H2O Mole Frac</t>
  </si>
  <si>
    <t>CH4 mole flow</t>
  </si>
  <si>
    <t>lbmol/hr</t>
  </si>
  <si>
    <t>Normalized residue</t>
  </si>
  <si>
    <t>squared residue</t>
  </si>
  <si>
    <t>SST</t>
  </si>
  <si>
    <t>AVERAGE</t>
  </si>
  <si>
    <t>SSE</t>
  </si>
  <si>
    <t>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</si>
</sst>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2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70C0"/>
      <name val="Arial"/>
      <family val="2"/>
    </font>
    <font>
      <b/>
      <sz val="11"/>
      <color rgb="FF0070C0"/>
      <name val="Calibri"/>
      <family val="2"/>
      <scheme val="minor"/>
    </font>
    <font>
      <sz val="9"/>
      <name val="Calibri"/>
      <family val="3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8">
    <xf numFmtId="0" fontId="0" fillId="0" borderId="0" xfId="0"/>
    <xf numFmtId="0" fontId="18" fillId="0" borderId="0" xfId="0" applyFont="1"/>
    <xf numFmtId="0" fontId="19" fillId="33" borderId="19" xfId="0" applyFont="1" applyFill="1" applyBorder="1"/>
    <xf numFmtId="0" fontId="19" fillId="33" borderId="20" xfId="0" applyFont="1" applyFill="1" applyBorder="1"/>
    <xf numFmtId="0" fontId="19" fillId="33" borderId="20" xfId="0" applyFont="1" applyFill="1" applyBorder="1" applyAlignment="1">
      <alignment horizontal="center"/>
    </xf>
    <xf numFmtId="1" fontId="21" fillId="33" borderId="20" xfId="0" applyNumberFormat="1" applyFont="1" applyFill="1" applyBorder="1" applyAlignment="1">
      <alignment horizontal="center"/>
    </xf>
    <xf numFmtId="22" fontId="22" fillId="34" borderId="13" xfId="0" applyNumberFormat="1" applyFont="1" applyFill="1" applyBorder="1" applyAlignment="1">
      <alignment horizontal="center"/>
    </xf>
    <xf numFmtId="0" fontId="0" fillId="34" borderId="13" xfId="0" applyFill="1" applyBorder="1" applyAlignment="1">
      <alignment horizontal="center"/>
    </xf>
    <xf numFmtId="2" fontId="21" fillId="33" borderId="13" xfId="0" applyNumberFormat="1" applyFont="1" applyFill="1" applyBorder="1" applyAlignment="1">
      <alignment horizontal="center"/>
    </xf>
    <xf numFmtId="2" fontId="21" fillId="33" borderId="18" xfId="0" applyNumberFormat="1" applyFont="1" applyFill="1" applyBorder="1" applyAlignment="1">
      <alignment horizontal="center"/>
    </xf>
    <xf numFmtId="2" fontId="21" fillId="34" borderId="13" xfId="0" applyNumberFormat="1" applyFont="1" applyFill="1" applyBorder="1" applyAlignment="1">
      <alignment horizontal="center"/>
    </xf>
    <xf numFmtId="2" fontId="21" fillId="34" borderId="18" xfId="0" applyNumberFormat="1" applyFont="1" applyFill="1" applyBorder="1" applyAlignment="1">
      <alignment horizontal="center"/>
    </xf>
    <xf numFmtId="2" fontId="21" fillId="34" borderId="13" xfId="0" applyNumberFormat="1" applyFont="1" applyFill="1" applyBorder="1" applyAlignment="1">
      <alignment horizontal="left"/>
    </xf>
    <xf numFmtId="0" fontId="20" fillId="0" borderId="18" xfId="0" applyFont="1" applyBorder="1" applyAlignment="1">
      <alignment horizontal="center"/>
    </xf>
    <xf numFmtId="0" fontId="20" fillId="33" borderId="18" xfId="0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0" fontId="20" fillId="33" borderId="17" xfId="0" applyFont="1" applyFill="1" applyBorder="1" applyAlignment="1">
      <alignment horizontal="center"/>
    </xf>
    <xf numFmtId="2" fontId="20" fillId="0" borderId="13" xfId="0" applyNumberFormat="1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49" fontId="20" fillId="0" borderId="18" xfId="0" applyNumberFormat="1" applyFont="1" applyBorder="1" applyAlignment="1">
      <alignment horizontal="center"/>
    </xf>
    <xf numFmtId="49" fontId="19" fillId="33" borderId="14" xfId="0" applyNumberFormat="1" applyFont="1" applyFill="1" applyBorder="1" applyAlignment="1">
      <alignment horizontal="center" vertical="center" wrapText="1"/>
    </xf>
    <xf numFmtId="49" fontId="19" fillId="33" borderId="15" xfId="0" applyNumberFormat="1" applyFont="1" applyFill="1" applyBorder="1" applyAlignment="1">
      <alignment horizontal="center" vertical="center" wrapText="1"/>
    </xf>
    <xf numFmtId="49" fontId="19" fillId="33" borderId="16" xfId="0" applyNumberFormat="1" applyFont="1" applyFill="1" applyBorder="1" applyAlignment="1">
      <alignment horizontal="center" vertical="center" wrapText="1"/>
    </xf>
    <xf numFmtId="0" fontId="19" fillId="33" borderId="10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9" fillId="33" borderId="12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33" borderId="12" xfId="0" applyFont="1" applyFill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 wrapText="1"/>
    </xf>
    <xf numFmtId="0" fontId="19" fillId="33" borderId="14" xfId="0" applyFont="1" applyFill="1" applyBorder="1" applyAlignment="1">
      <alignment horizontal="center" vertical="center" wrapText="1"/>
    </xf>
    <xf numFmtId="0" fontId="19" fillId="33" borderId="15" xfId="0" applyFont="1" applyFill="1" applyBorder="1" applyAlignment="1">
      <alignment horizontal="center" vertical="center" wrapText="1"/>
    </xf>
    <xf numFmtId="0" fontId="19" fillId="33" borderId="16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  <xf numFmtId="0" fontId="20" fillId="33" borderId="13" xfId="0" applyFont="1" applyFill="1" applyBorder="1" applyAlignment="1">
      <alignment horizontal="center"/>
    </xf>
    <xf numFmtId="0" fontId="19" fillId="33" borderId="2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3" xfId="0" applyBorder="1" applyAlignment="1">
      <alignment horizontal="center"/>
    </xf>
    <xf numFmtId="0" fontId="20" fillId="33" borderId="22" xfId="0" applyFont="1" applyFill="1" applyBorder="1" applyAlignment="1">
      <alignment horizontal="center"/>
    </xf>
    <xf numFmtId="0" fontId="20" fillId="33" borderId="0" xfId="0" applyFont="1" applyFill="1" applyBorder="1" applyAlignment="1">
      <alignment horizontal="center"/>
    </xf>
    <xf numFmtId="0" fontId="20" fillId="0" borderId="0" xfId="0" applyFont="1" applyBorder="1" applyAlignment="1">
      <alignment horizontal="center"/>
    </xf>
    <xf numFmtId="2" fontId="20" fillId="0" borderId="0" xfId="0" applyNumberFormat="1" applyFont="1" applyBorder="1" applyAlignment="1">
      <alignment horizontal="center"/>
    </xf>
    <xf numFmtId="0" fontId="0" fillId="35" borderId="0" xfId="0" applyFill="1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17"/>
  <sheetViews>
    <sheetView tabSelected="1" topLeftCell="B81" zoomScale="70" zoomScaleNormal="70" workbookViewId="0">
      <selection activeCell="T117" sqref="T117"/>
    </sheetView>
  </sheetViews>
  <sheetFormatPr defaultRowHeight="15"/>
  <cols>
    <col min="1" max="1" width="21.28515625" customWidth="1"/>
    <col min="2" max="2" width="20.42578125" customWidth="1"/>
    <col min="3" max="3" width="21.28515625" customWidth="1"/>
    <col min="8" max="8" width="20" bestFit="1" customWidth="1"/>
    <col min="9" max="9" width="16" bestFit="1" customWidth="1"/>
    <col min="10" max="10" width="15.28515625" bestFit="1" customWidth="1"/>
    <col min="11" max="11" width="13.7109375" bestFit="1" customWidth="1"/>
    <col min="12" max="12" width="13.7109375" style="36" customWidth="1"/>
    <col min="13" max="13" width="13.7109375" bestFit="1" customWidth="1"/>
    <col min="14" max="14" width="13.7109375" style="36" customWidth="1"/>
    <col min="15" max="15" width="18.7109375" bestFit="1" customWidth="1"/>
    <col min="16" max="16" width="9.140625" style="36"/>
    <col min="17" max="17" width="14.85546875" bestFit="1" customWidth="1"/>
    <col min="18" max="18" width="9.140625" style="36"/>
    <col min="19" max="19" width="19.28515625" bestFit="1" customWidth="1"/>
    <col min="20" max="20" width="16.7109375" bestFit="1" customWidth="1"/>
    <col min="21" max="21" width="19.28515625" bestFit="1" customWidth="1"/>
    <col min="22" max="22" width="16.7109375" bestFit="1" customWidth="1"/>
    <col min="23" max="23" width="19.28515625" bestFit="1" customWidth="1"/>
    <col min="24" max="24" width="16.7109375" bestFit="1" customWidth="1"/>
    <col min="25" max="25" width="19.28515625" bestFit="1" customWidth="1"/>
    <col min="26" max="26" width="16.7109375" bestFit="1" customWidth="1"/>
  </cols>
  <sheetData>
    <row r="1" spans="1:26" ht="26.25">
      <c r="C1" s="1" t="s">
        <v>0</v>
      </c>
    </row>
    <row r="2" spans="1:26" ht="15.75" thickBot="1"/>
    <row r="3" spans="1:26">
      <c r="A3" s="23" t="s">
        <v>1</v>
      </c>
      <c r="B3" s="24"/>
      <c r="C3" s="24"/>
      <c r="D3" s="24"/>
      <c r="E3" s="24"/>
      <c r="F3" s="24"/>
      <c r="G3" s="24"/>
      <c r="H3" s="16" t="s">
        <v>2</v>
      </c>
      <c r="I3" s="16" t="s">
        <v>3</v>
      </c>
      <c r="J3" s="16" t="s">
        <v>4</v>
      </c>
      <c r="K3" s="16" t="s">
        <v>29</v>
      </c>
      <c r="L3" s="16"/>
      <c r="M3" s="16" t="s">
        <v>30</v>
      </c>
      <c r="N3" s="16"/>
      <c r="O3" s="16" t="s">
        <v>31</v>
      </c>
      <c r="P3" s="42"/>
      <c r="Q3" s="38" t="s">
        <v>44</v>
      </c>
      <c r="R3" s="43"/>
    </row>
    <row r="4" spans="1:26">
      <c r="A4" s="25" t="s">
        <v>5</v>
      </c>
      <c r="B4" s="26"/>
      <c r="C4" s="26"/>
      <c r="D4" s="26"/>
      <c r="E4" s="26"/>
      <c r="F4" s="26"/>
      <c r="G4" s="26"/>
      <c r="H4" s="13" t="s">
        <v>33</v>
      </c>
      <c r="I4" s="13" t="s">
        <v>34</v>
      </c>
      <c r="J4" s="13" t="s">
        <v>46</v>
      </c>
      <c r="K4" s="13" t="s">
        <v>36</v>
      </c>
      <c r="L4" s="13"/>
      <c r="M4" s="13" t="s">
        <v>37</v>
      </c>
      <c r="N4" s="13"/>
      <c r="O4" s="13" t="s">
        <v>43</v>
      </c>
      <c r="P4" s="13"/>
      <c r="Q4" s="18" t="s">
        <v>45</v>
      </c>
      <c r="R4" s="44"/>
    </row>
    <row r="5" spans="1:26">
      <c r="A5" s="25" t="s">
        <v>6</v>
      </c>
      <c r="B5" s="27" t="s">
        <v>7</v>
      </c>
      <c r="C5" s="27"/>
      <c r="D5" s="27"/>
      <c r="E5" s="27"/>
      <c r="F5" s="27"/>
      <c r="G5" s="27"/>
      <c r="H5" s="13" t="s">
        <v>32</v>
      </c>
      <c r="I5" s="13" t="s">
        <v>35</v>
      </c>
      <c r="J5" s="13" t="s">
        <v>47</v>
      </c>
      <c r="K5" s="13" t="s">
        <v>38</v>
      </c>
      <c r="L5" s="13"/>
      <c r="M5" s="13" t="s">
        <v>38</v>
      </c>
      <c r="N5" s="13"/>
      <c r="O5" s="13" t="s">
        <v>38</v>
      </c>
      <c r="P5" s="13"/>
      <c r="Q5" s="18" t="s">
        <v>38</v>
      </c>
      <c r="R5" s="44"/>
    </row>
    <row r="6" spans="1:26">
      <c r="A6" s="25" t="s">
        <v>8</v>
      </c>
      <c r="B6" s="26"/>
      <c r="C6" s="26"/>
      <c r="D6" s="26"/>
      <c r="E6" s="26"/>
      <c r="F6" s="26"/>
      <c r="G6" s="26"/>
      <c r="H6" s="13" t="s">
        <v>9</v>
      </c>
      <c r="I6" s="13" t="s">
        <v>9</v>
      </c>
      <c r="J6" s="13" t="s">
        <v>9</v>
      </c>
      <c r="K6" s="13" t="s">
        <v>9</v>
      </c>
      <c r="L6" s="13"/>
      <c r="M6" s="13" t="s">
        <v>9</v>
      </c>
      <c r="N6" s="13"/>
      <c r="O6" s="13" t="s">
        <v>9</v>
      </c>
      <c r="P6" s="13"/>
      <c r="Q6" s="18" t="s">
        <v>9</v>
      </c>
      <c r="R6" s="44"/>
    </row>
    <row r="7" spans="1:26">
      <c r="A7" s="25" t="s">
        <v>10</v>
      </c>
      <c r="B7" s="27"/>
      <c r="C7" s="27"/>
      <c r="D7" s="27"/>
      <c r="E7" s="27"/>
      <c r="F7" s="27"/>
      <c r="G7" s="27"/>
      <c r="H7" s="14" t="s">
        <v>11</v>
      </c>
      <c r="I7" s="14" t="s">
        <v>11</v>
      </c>
      <c r="J7" s="14" t="s">
        <v>11</v>
      </c>
      <c r="K7" s="14" t="s">
        <v>11</v>
      </c>
      <c r="L7" s="14"/>
      <c r="M7" s="14" t="s">
        <v>11</v>
      </c>
      <c r="N7" s="14"/>
      <c r="O7" s="14" t="s">
        <v>11</v>
      </c>
      <c r="P7" s="14"/>
      <c r="Q7" s="38" t="s">
        <v>11</v>
      </c>
      <c r="R7" s="43"/>
    </row>
    <row r="8" spans="1:26">
      <c r="A8" s="28" t="s">
        <v>12</v>
      </c>
      <c r="B8" s="29"/>
      <c r="C8" s="29"/>
      <c r="D8" s="29"/>
      <c r="E8" s="29"/>
      <c r="F8" s="29"/>
      <c r="G8" s="29"/>
      <c r="H8" s="15"/>
      <c r="I8" s="15"/>
      <c r="J8" s="15"/>
      <c r="K8" s="15"/>
      <c r="L8" s="15"/>
      <c r="M8" s="15"/>
      <c r="N8" s="15"/>
      <c r="O8" s="15"/>
      <c r="P8" s="15"/>
      <c r="Q8" s="17"/>
      <c r="R8" s="45"/>
    </row>
    <row r="9" spans="1:26">
      <c r="A9" s="28" t="s">
        <v>13</v>
      </c>
      <c r="B9" s="29"/>
      <c r="C9" s="29"/>
      <c r="D9" s="29"/>
      <c r="E9" s="29"/>
      <c r="F9" s="29"/>
      <c r="G9" s="29"/>
      <c r="H9" s="15"/>
      <c r="I9" s="15"/>
      <c r="J9" s="15"/>
      <c r="K9" s="15"/>
      <c r="L9" s="15"/>
      <c r="M9" s="15"/>
      <c r="N9" s="15"/>
      <c r="O9" s="15"/>
      <c r="P9" s="15"/>
      <c r="Q9" s="17"/>
      <c r="R9" s="45"/>
    </row>
    <row r="10" spans="1:26">
      <c r="A10" s="28" t="s">
        <v>14</v>
      </c>
      <c r="B10" s="29"/>
      <c r="C10" s="29"/>
      <c r="D10" s="29"/>
      <c r="E10" s="29"/>
      <c r="F10" s="29"/>
      <c r="G10" s="29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45"/>
    </row>
    <row r="11" spans="1:26">
      <c r="A11" s="30" t="s">
        <v>15</v>
      </c>
      <c r="B11" s="31"/>
      <c r="C11" s="31"/>
      <c r="D11" s="31" t="s">
        <v>16</v>
      </c>
      <c r="E11" s="31" t="s">
        <v>17</v>
      </c>
      <c r="F11" s="31"/>
      <c r="G11" s="32"/>
      <c r="H11" s="18" t="s">
        <v>18</v>
      </c>
      <c r="I11" s="18" t="s">
        <v>18</v>
      </c>
      <c r="J11" s="18" t="s">
        <v>18</v>
      </c>
      <c r="K11" s="18" t="s">
        <v>18</v>
      </c>
      <c r="L11" s="18"/>
      <c r="M11" s="18" t="s">
        <v>18</v>
      </c>
      <c r="N11" s="18"/>
      <c r="O11" s="18" t="s">
        <v>18</v>
      </c>
      <c r="P11" s="18"/>
      <c r="Q11" s="18" t="s">
        <v>18</v>
      </c>
      <c r="R11" s="44"/>
    </row>
    <row r="12" spans="1:26">
      <c r="A12" s="30" t="s">
        <v>19</v>
      </c>
      <c r="B12" s="31"/>
      <c r="C12" s="31"/>
      <c r="D12" s="31" t="s">
        <v>16</v>
      </c>
      <c r="E12" s="31" t="s">
        <v>17</v>
      </c>
      <c r="F12" s="31"/>
      <c r="G12" s="32"/>
      <c r="H12" s="15"/>
      <c r="J12" s="15"/>
      <c r="K12" s="15"/>
      <c r="L12" s="15"/>
      <c r="M12" s="15"/>
      <c r="N12" s="15"/>
      <c r="O12" s="15"/>
      <c r="P12" s="15"/>
      <c r="Q12" s="17"/>
      <c r="R12" s="45"/>
    </row>
    <row r="13" spans="1:26">
      <c r="A13" s="20" t="s">
        <v>20</v>
      </c>
      <c r="B13" s="21"/>
      <c r="C13" s="21"/>
      <c r="D13" s="21" t="s">
        <v>16</v>
      </c>
      <c r="E13" s="21" t="s">
        <v>17</v>
      </c>
      <c r="F13" s="21"/>
      <c r="G13" s="22"/>
      <c r="H13" s="19"/>
      <c r="I13" s="19"/>
      <c r="J13" s="19"/>
      <c r="K13" s="19" t="s">
        <v>39</v>
      </c>
      <c r="L13" s="19"/>
      <c r="M13" s="19" t="s">
        <v>40</v>
      </c>
      <c r="N13" s="19"/>
      <c r="O13" s="19" t="s">
        <v>42</v>
      </c>
      <c r="P13" s="19"/>
      <c r="Q13" s="19" t="s">
        <v>41</v>
      </c>
      <c r="R13" s="19"/>
      <c r="S13" s="41" t="s">
        <v>42</v>
      </c>
      <c r="T13" s="41"/>
      <c r="U13" s="41" t="s">
        <v>39</v>
      </c>
      <c r="V13" s="41"/>
      <c r="W13" s="41" t="s">
        <v>40</v>
      </c>
      <c r="X13" s="41"/>
      <c r="Y13" s="41" t="s">
        <v>41</v>
      </c>
      <c r="Z13" s="41"/>
    </row>
    <row r="14" spans="1:26">
      <c r="A14" s="2" t="s">
        <v>21</v>
      </c>
      <c r="B14" s="3" t="s">
        <v>22</v>
      </c>
      <c r="C14" s="3" t="s">
        <v>23</v>
      </c>
      <c r="D14" s="3" t="s">
        <v>24</v>
      </c>
      <c r="E14" s="3" t="s">
        <v>25</v>
      </c>
      <c r="F14" s="3" t="s">
        <v>26</v>
      </c>
      <c r="G14" s="3" t="s">
        <v>27</v>
      </c>
      <c r="H14" s="4" t="s">
        <v>28</v>
      </c>
      <c r="I14" s="4" t="s">
        <v>28</v>
      </c>
      <c r="J14" s="4" t="s">
        <v>28</v>
      </c>
      <c r="K14" s="4" t="s">
        <v>28</v>
      </c>
      <c r="L14" s="4"/>
      <c r="M14" s="4" t="s">
        <v>28</v>
      </c>
      <c r="N14" s="4"/>
      <c r="O14" s="4" t="s">
        <v>28</v>
      </c>
      <c r="P14" s="39"/>
      <c r="Q14" s="39" t="s">
        <v>28</v>
      </c>
      <c r="R14" s="39"/>
      <c r="S14" s="40" t="s">
        <v>48</v>
      </c>
      <c r="T14" s="40" t="s">
        <v>49</v>
      </c>
      <c r="U14" s="40" t="s">
        <v>48</v>
      </c>
      <c r="V14" s="40" t="s">
        <v>49</v>
      </c>
      <c r="W14" s="40" t="s">
        <v>48</v>
      </c>
      <c r="X14" s="40" t="s">
        <v>49</v>
      </c>
      <c r="Y14" s="40" t="s">
        <v>48</v>
      </c>
      <c r="Z14" s="40" t="s">
        <v>49</v>
      </c>
    </row>
    <row r="15" spans="1:26">
      <c r="A15" s="5">
        <v>1</v>
      </c>
      <c r="B15" s="6">
        <v>42520.541666666664</v>
      </c>
      <c r="C15" s="6">
        <v>42520.541666666664</v>
      </c>
      <c r="D15" s="7">
        <v>0</v>
      </c>
      <c r="E15" s="8"/>
      <c r="F15" s="8"/>
      <c r="G15" s="9"/>
      <c r="H15">
        <v>1596.5</v>
      </c>
      <c r="I15">
        <v>416.625</v>
      </c>
      <c r="J15">
        <v>232.32000000000002</v>
      </c>
      <c r="K15">
        <v>0.14585164873999998</v>
      </c>
      <c r="L15" s="36">
        <f>(K15-K$116)^2</f>
        <v>4.0380997854689324E-4</v>
      </c>
      <c r="M15">
        <v>0.45087737310000003</v>
      </c>
      <c r="N15" s="36">
        <f>(M15-M$116)^2</f>
        <v>3.7790947472259835E-3</v>
      </c>
      <c r="O15">
        <v>9.8187871644999994E-2</v>
      </c>
      <c r="P15" s="36">
        <f>(O15-O$116)^2</f>
        <v>2.6923515393101349E-4</v>
      </c>
      <c r="Q15">
        <v>0.30748011345999998</v>
      </c>
      <c r="R15" s="36">
        <f>(Q15-Q$116)^2</f>
        <v>4.030816815228511E-3</v>
      </c>
      <c r="S15" s="33">
        <v>-2.19201708E-2</v>
      </c>
      <c r="T15">
        <f>S15*S15</f>
        <v>4.8049388790117264E-4</v>
      </c>
      <c r="U15" s="34">
        <v>1.13822812E-2</v>
      </c>
      <c r="V15" s="36">
        <f>U15*U15</f>
        <v>1.2955632531587343E-4</v>
      </c>
      <c r="W15" s="35">
        <v>2.9687760800000001E-2</v>
      </c>
      <c r="X15" s="36">
        <f>W15*W15</f>
        <v>8.8136314131801667E-4</v>
      </c>
      <c r="Y15" s="36">
        <v>-2.1546878200000001E-2</v>
      </c>
      <c r="Z15" s="36">
        <f>Y15*Y15</f>
        <v>4.6426796016563529E-4</v>
      </c>
    </row>
    <row r="16" spans="1:26">
      <c r="A16" s="5">
        <v>2</v>
      </c>
      <c r="B16" s="6">
        <v>42520.542361111111</v>
      </c>
      <c r="C16" s="6">
        <v>42520.542361111111</v>
      </c>
      <c r="D16" s="7">
        <v>0</v>
      </c>
      <c r="E16" s="10"/>
      <c r="F16" s="10"/>
      <c r="G16" s="11"/>
      <c r="H16">
        <v>1632</v>
      </c>
      <c r="I16">
        <v>326.61</v>
      </c>
      <c r="J16">
        <v>347.82</v>
      </c>
      <c r="K16">
        <v>0.19692326754</v>
      </c>
      <c r="L16" s="36">
        <f t="shared" ref="L16:L79" si="0">(K16-K$116)^2</f>
        <v>5.0646910084177748E-3</v>
      </c>
      <c r="M16">
        <v>0.55672462685000002</v>
      </c>
      <c r="N16" s="36">
        <f t="shared" ref="N16:N79" si="1">(M16-M$116)^2</f>
        <v>2.7996516466636905E-2</v>
      </c>
      <c r="O16">
        <v>7.5581001299999992E-2</v>
      </c>
      <c r="P16" s="36">
        <f t="shared" ref="P16:P79" si="2">(O16-O$116)^2</f>
        <v>1.5221902818933711E-3</v>
      </c>
      <c r="Q16">
        <v>0.14148363679999998</v>
      </c>
      <c r="R16" s="36">
        <f t="shared" ref="R16:R79" si="3">(Q16-Q$116)^2</f>
        <v>5.2663452767877234E-2</v>
      </c>
      <c r="S16" s="33">
        <v>1.8772672300000001E-2</v>
      </c>
      <c r="T16" s="36">
        <f t="shared" ref="T16:T79" si="4">S16*S16</f>
        <v>3.5241322528318733E-4</v>
      </c>
      <c r="U16" s="34">
        <v>-1.43847939E-2</v>
      </c>
      <c r="V16" s="36">
        <f t="shared" ref="V16:V79" si="5">U16*U16</f>
        <v>2.0692229554547721E-4</v>
      </c>
      <c r="W16" s="35">
        <v>-2.0889908900000001E-3</v>
      </c>
      <c r="X16" s="36">
        <f t="shared" ref="X16:X79" si="6">W16*W16</f>
        <v>4.3638829385029923E-6</v>
      </c>
      <c r="Y16" s="36">
        <v>2.6988579499999998E-2</v>
      </c>
      <c r="Z16" s="36">
        <f t="shared" ref="Z16:Z79" si="7">Y16*Y16</f>
        <v>7.2838342342782013E-4</v>
      </c>
    </row>
    <row r="17" spans="1:26">
      <c r="A17" s="5">
        <v>3</v>
      </c>
      <c r="B17" s="6">
        <v>42520.543055497685</v>
      </c>
      <c r="C17" s="6">
        <v>42520.543055497685</v>
      </c>
      <c r="D17" s="7">
        <v>0</v>
      </c>
      <c r="E17" s="12"/>
      <c r="F17" s="10"/>
      <c r="G17" s="11"/>
      <c r="H17">
        <v>1372</v>
      </c>
      <c r="I17">
        <v>505.36500000000001</v>
      </c>
      <c r="J17">
        <v>144.43</v>
      </c>
      <c r="K17">
        <v>9.2141509105000005E-2</v>
      </c>
      <c r="L17" s="36">
        <f t="shared" si="0"/>
        <v>1.1299760175781958E-3</v>
      </c>
      <c r="M17">
        <v>0.31186954049999999</v>
      </c>
      <c r="N17" s="36">
        <f t="shared" si="1"/>
        <v>6.0114421357468561E-3</v>
      </c>
      <c r="O17">
        <v>9.6708375360000001E-2</v>
      </c>
      <c r="P17" s="36">
        <f t="shared" si="2"/>
        <v>3.1997635750438604E-4</v>
      </c>
      <c r="Q17">
        <v>0.48696216288000005</v>
      </c>
      <c r="R17" s="36">
        <f t="shared" si="3"/>
        <v>1.3454453843852162E-2</v>
      </c>
      <c r="S17" s="33">
        <v>3.0814692099999999E-2</v>
      </c>
      <c r="T17" s="36">
        <f t="shared" si="4"/>
        <v>9.4954524921780231E-4</v>
      </c>
      <c r="U17" s="34">
        <v>-1.43876384E-2</v>
      </c>
      <c r="V17" s="36">
        <f t="shared" si="5"/>
        <v>2.0700413872915455E-4</v>
      </c>
      <c r="W17" s="35">
        <v>-6.6074295599999999E-2</v>
      </c>
      <c r="X17" s="36">
        <f t="shared" si="6"/>
        <v>4.3658125390361796E-3</v>
      </c>
      <c r="Y17" s="36">
        <v>6.1965653900000001E-2</v>
      </c>
      <c r="Z17" s="36">
        <f t="shared" si="7"/>
        <v>3.8397422632545854E-3</v>
      </c>
    </row>
    <row r="18" spans="1:26">
      <c r="A18" s="5">
        <v>4</v>
      </c>
      <c r="B18" s="6">
        <v>42520.543749942131</v>
      </c>
      <c r="C18" s="6">
        <v>42520.543749942131</v>
      </c>
      <c r="D18" s="7">
        <v>0</v>
      </c>
      <c r="E18" s="8"/>
      <c r="F18" s="8"/>
      <c r="G18" s="9"/>
      <c r="H18">
        <v>1460.25</v>
      </c>
      <c r="I18">
        <v>393.22399999999999</v>
      </c>
      <c r="J18">
        <v>285.67</v>
      </c>
      <c r="K18">
        <v>0.13965027569999999</v>
      </c>
      <c r="L18" s="36">
        <f t="shared" si="0"/>
        <v>1.9303352938347576E-4</v>
      </c>
      <c r="M18">
        <v>0.41936821099999994</v>
      </c>
      <c r="N18" s="36">
        <f t="shared" si="1"/>
        <v>8.9791201759837876E-4</v>
      </c>
      <c r="O18">
        <v>0.15647780609999998</v>
      </c>
      <c r="P18" s="36">
        <f t="shared" si="2"/>
        <v>1.7540640427773444E-3</v>
      </c>
      <c r="Q18">
        <v>0.28585247480999998</v>
      </c>
      <c r="R18" s="36">
        <f t="shared" si="3"/>
        <v>7.244793501650919E-3</v>
      </c>
      <c r="S18" s="33">
        <v>1.4919306E-3</v>
      </c>
      <c r="T18" s="36">
        <f t="shared" si="4"/>
        <v>2.22585691521636E-6</v>
      </c>
      <c r="U18" s="34">
        <v>-9.9417558600000001E-3</v>
      </c>
      <c r="V18" s="36">
        <f t="shared" si="5"/>
        <v>9.8838509579844336E-5</v>
      </c>
      <c r="W18" s="35">
        <v>-2.1362166200000001E-2</v>
      </c>
      <c r="X18" s="36">
        <f t="shared" si="6"/>
        <v>4.563421447564225E-4</v>
      </c>
      <c r="Y18" s="36">
        <v>2.8463223499999999E-2</v>
      </c>
      <c r="Z18" s="36">
        <f t="shared" si="7"/>
        <v>8.1015509201095215E-4</v>
      </c>
    </row>
    <row r="19" spans="1:26">
      <c r="A19" s="5">
        <v>5</v>
      </c>
      <c r="B19" s="6">
        <v>42520.544444386571</v>
      </c>
      <c r="C19" s="6">
        <v>42520.544444386571</v>
      </c>
      <c r="D19" s="7">
        <v>0</v>
      </c>
      <c r="E19" s="8"/>
      <c r="F19" s="8"/>
      <c r="G19" s="9"/>
      <c r="H19">
        <v>1810.5</v>
      </c>
      <c r="I19">
        <v>520.75600000000009</v>
      </c>
      <c r="J19">
        <v>88.825000000000003</v>
      </c>
      <c r="K19">
        <v>7.0525732128000007E-2</v>
      </c>
      <c r="L19" s="36">
        <f t="shared" si="0"/>
        <v>3.0504515289892266E-3</v>
      </c>
      <c r="M19">
        <v>0.22955113986</v>
      </c>
      <c r="N19" s="36">
        <f t="shared" si="1"/>
        <v>2.5552627073476022E-2</v>
      </c>
      <c r="O19">
        <v>7.0672291200000001E-2</v>
      </c>
      <c r="P19" s="36">
        <f t="shared" si="2"/>
        <v>1.9293148893114102E-3</v>
      </c>
      <c r="Q19">
        <v>0.61868286900000002</v>
      </c>
      <c r="R19" s="36">
        <f t="shared" si="3"/>
        <v>6.1362246337630703E-2</v>
      </c>
      <c r="S19" s="33">
        <v>-6.7751774000000001E-2</v>
      </c>
      <c r="T19" s="36">
        <f t="shared" si="4"/>
        <v>4.590302880147076E-3</v>
      </c>
      <c r="U19" s="34">
        <v>5.1297652999999999E-2</v>
      </c>
      <c r="V19" s="36">
        <f t="shared" si="5"/>
        <v>2.6314492033084089E-3</v>
      </c>
      <c r="W19" s="35">
        <v>0.148303512</v>
      </c>
      <c r="X19" s="36">
        <f t="shared" si="6"/>
        <v>2.1993931671534142E-2</v>
      </c>
      <c r="Y19" s="36">
        <v>-0.121281423</v>
      </c>
      <c r="Z19" s="36">
        <f t="shared" si="7"/>
        <v>1.4709183564904929E-2</v>
      </c>
    </row>
    <row r="20" spans="1:26">
      <c r="A20" s="5">
        <v>6</v>
      </c>
      <c r="B20" s="6">
        <v>42520.545138831018</v>
      </c>
      <c r="C20" s="6">
        <v>42520.545138831018</v>
      </c>
      <c r="D20" s="7">
        <v>0</v>
      </c>
      <c r="E20" s="8"/>
      <c r="F20" s="8"/>
      <c r="G20" s="9"/>
      <c r="H20">
        <v>1657.5</v>
      </c>
      <c r="I20">
        <v>303.21199999999999</v>
      </c>
      <c r="J20">
        <v>186.72499999999999</v>
      </c>
      <c r="K20">
        <v>0.16191672994</v>
      </c>
      <c r="L20" s="36">
        <f t="shared" si="0"/>
        <v>1.3075531882564347E-3</v>
      </c>
      <c r="M20">
        <v>0.51494824032000008</v>
      </c>
      <c r="N20" s="36">
        <f t="shared" si="1"/>
        <v>1.576159960484657E-2</v>
      </c>
      <c r="O20">
        <v>3.5761001600000002E-2</v>
      </c>
      <c r="P20" s="36">
        <f t="shared" si="2"/>
        <v>6.2149977052538379E-3</v>
      </c>
      <c r="Q20">
        <v>0.27945829755000001</v>
      </c>
      <c r="R20" s="36">
        <f t="shared" si="3"/>
        <v>8.3741770986132599E-3</v>
      </c>
      <c r="S20" s="33">
        <v>-9.0938746300000001E-3</v>
      </c>
      <c r="T20" s="36">
        <f t="shared" si="4"/>
        <v>8.2698555786157643E-5</v>
      </c>
      <c r="U20" s="34">
        <v>6.1684253099999996E-3</v>
      </c>
      <c r="V20" s="36">
        <f t="shared" si="5"/>
        <v>3.8049470805048594E-5</v>
      </c>
      <c r="W20" s="35">
        <v>-1.49517788E-3</v>
      </c>
      <c r="X20" s="36">
        <f t="shared" si="6"/>
        <v>2.2355568928412944E-6</v>
      </c>
      <c r="Y20" s="36">
        <v>1.23363572E-2</v>
      </c>
      <c r="Z20" s="36">
        <f t="shared" si="7"/>
        <v>1.5218570896599184E-4</v>
      </c>
    </row>
    <row r="21" spans="1:26">
      <c r="A21" s="5">
        <v>7</v>
      </c>
      <c r="B21" s="6">
        <v>42520.545833275464</v>
      </c>
      <c r="C21" s="6">
        <v>42520.545833275464</v>
      </c>
      <c r="D21" s="7">
        <v>0</v>
      </c>
      <c r="E21" s="8"/>
      <c r="F21" s="8"/>
      <c r="G21" s="9"/>
      <c r="H21">
        <v>1338.25</v>
      </c>
      <c r="I21">
        <v>429.02399999999994</v>
      </c>
      <c r="J21">
        <v>374.87999999999994</v>
      </c>
      <c r="K21">
        <v>9.1885377210000008E-2</v>
      </c>
      <c r="L21" s="36">
        <f t="shared" si="0"/>
        <v>1.147261427802686E-3</v>
      </c>
      <c r="M21">
        <v>0.28994916635000001</v>
      </c>
      <c r="N21" s="36">
        <f t="shared" si="1"/>
        <v>9.8910711766747195E-3</v>
      </c>
      <c r="O21">
        <v>0.27515499990000003</v>
      </c>
      <c r="P21" s="36">
        <f t="shared" si="2"/>
        <v>2.577910949134693E-2</v>
      </c>
      <c r="Q21">
        <v>0.32098931739999997</v>
      </c>
      <c r="R21" s="36">
        <f t="shared" si="3"/>
        <v>2.497951433595459E-3</v>
      </c>
      <c r="S21" s="33">
        <v>2.0010915000000002E-3</v>
      </c>
      <c r="T21" s="36">
        <f t="shared" si="4"/>
        <v>4.0043671913722509E-6</v>
      </c>
      <c r="U21" s="34">
        <v>1.05941906E-3</v>
      </c>
      <c r="V21" s="36">
        <f t="shared" si="5"/>
        <v>1.1223687446912837E-6</v>
      </c>
      <c r="W21" s="35">
        <v>-2.4087088000000001E-3</v>
      </c>
      <c r="X21" s="36">
        <f t="shared" si="6"/>
        <v>5.8018780831974405E-6</v>
      </c>
      <c r="Y21" s="36">
        <v>2.1369338200000001E-2</v>
      </c>
      <c r="Z21" s="36">
        <f t="shared" si="7"/>
        <v>4.5664861510597926E-4</v>
      </c>
    </row>
    <row r="22" spans="1:26">
      <c r="A22" s="5">
        <v>8</v>
      </c>
      <c r="B22" s="6">
        <v>42520.546527719911</v>
      </c>
      <c r="C22" s="6">
        <v>42520.546527719911</v>
      </c>
      <c r="D22" s="7">
        <v>0</v>
      </c>
      <c r="E22" s="10"/>
      <c r="F22" s="10"/>
      <c r="G22" s="11"/>
      <c r="H22">
        <v>1349.37</v>
      </c>
      <c r="I22">
        <v>350.07299999999998</v>
      </c>
      <c r="J22">
        <v>176.11439999999999</v>
      </c>
      <c r="K22">
        <v>0.10132354440999998</v>
      </c>
      <c r="L22" s="36">
        <f t="shared" si="0"/>
        <v>5.9697542780351811E-4</v>
      </c>
      <c r="M22">
        <v>0.30612324876000002</v>
      </c>
      <c r="N22" s="36">
        <f t="shared" si="1"/>
        <v>6.9355221155844218E-3</v>
      </c>
      <c r="O22">
        <v>0.11714738099999999</v>
      </c>
      <c r="P22" s="36">
        <f t="shared" si="2"/>
        <v>6.5082268266203944E-6</v>
      </c>
      <c r="Q22">
        <v>0.45605676752000002</v>
      </c>
      <c r="R22" s="36">
        <f t="shared" si="3"/>
        <v>7.2399575304468132E-3</v>
      </c>
      <c r="S22" s="33">
        <v>2.89837004E-2</v>
      </c>
      <c r="T22" s="36">
        <f t="shared" si="4"/>
        <v>8.4005488887696012E-4</v>
      </c>
      <c r="U22" s="34">
        <v>-1.4769641199999999E-2</v>
      </c>
      <c r="V22" s="36">
        <f t="shared" si="5"/>
        <v>2.1814230117673741E-4</v>
      </c>
      <c r="W22" s="35">
        <v>-3.4810418900000001E-2</v>
      </c>
      <c r="X22" s="36">
        <f t="shared" si="6"/>
        <v>1.2117652639934773E-3</v>
      </c>
      <c r="Y22" s="36">
        <v>3.9945417699999999E-2</v>
      </c>
      <c r="Z22" s="36">
        <f t="shared" si="7"/>
        <v>1.5956363952274732E-3</v>
      </c>
    </row>
    <row r="23" spans="1:26">
      <c r="A23" s="5">
        <v>9</v>
      </c>
      <c r="B23" s="6">
        <v>42520.54722216435</v>
      </c>
      <c r="C23" s="6">
        <v>42520.54722216435</v>
      </c>
      <c r="D23" s="7">
        <v>0</v>
      </c>
      <c r="E23" s="12"/>
      <c r="F23" s="10"/>
      <c r="G23" s="11"/>
      <c r="H23">
        <v>1679.63</v>
      </c>
      <c r="I23">
        <v>523.32000000000005</v>
      </c>
      <c r="J23">
        <v>351.14112</v>
      </c>
      <c r="K23">
        <v>0.16805937536000001</v>
      </c>
      <c r="L23" s="36">
        <f t="shared" si="0"/>
        <v>1.7895226868326175E-3</v>
      </c>
      <c r="M23">
        <v>0.50048946520000004</v>
      </c>
      <c r="N23" s="36">
        <f t="shared" si="1"/>
        <v>1.2340195882422186E-2</v>
      </c>
      <c r="O23">
        <v>0.12258507798</v>
      </c>
      <c r="P23" s="36">
        <f t="shared" si="2"/>
        <v>6.3821239241248066E-5</v>
      </c>
      <c r="Q23">
        <v>0.17613583708</v>
      </c>
      <c r="R23" s="36">
        <f t="shared" si="3"/>
        <v>3.7959894170655137E-2</v>
      </c>
      <c r="S23" s="33">
        <v>-1.1310880299999999E-2</v>
      </c>
      <c r="T23" s="36">
        <f t="shared" si="4"/>
        <v>1.2793601316092807E-4</v>
      </c>
      <c r="U23" s="34">
        <v>6.2549157200000004E-3</v>
      </c>
      <c r="V23" s="36">
        <f t="shared" si="5"/>
        <v>3.9123970664303124E-5</v>
      </c>
      <c r="W23" s="35">
        <v>2.9625621500000001E-2</v>
      </c>
      <c r="X23" s="36">
        <f t="shared" si="6"/>
        <v>8.776774492612623E-4</v>
      </c>
      <c r="Y23" s="36">
        <v>8.1605881500000001E-3</v>
      </c>
      <c r="Z23" s="36">
        <f t="shared" si="7"/>
        <v>6.6595198953920431E-5</v>
      </c>
    </row>
    <row r="24" spans="1:26">
      <c r="A24" s="5">
        <v>10</v>
      </c>
      <c r="B24" s="6">
        <v>42520.547916608797</v>
      </c>
      <c r="C24" s="6">
        <v>42520.547916608797</v>
      </c>
      <c r="D24" s="7">
        <v>0</v>
      </c>
      <c r="E24" s="8"/>
      <c r="F24" s="8"/>
      <c r="G24" s="9"/>
      <c r="H24">
        <v>1813</v>
      </c>
      <c r="I24">
        <v>292.2</v>
      </c>
      <c r="J24">
        <v>264.06072</v>
      </c>
      <c r="K24">
        <v>0.20256317099999996</v>
      </c>
      <c r="L24" s="36">
        <f t="shared" si="0"/>
        <v>5.899245506293377E-3</v>
      </c>
      <c r="M24">
        <v>0.62730574464</v>
      </c>
      <c r="N24" s="36">
        <f t="shared" si="1"/>
        <v>5.6597701198290155E-2</v>
      </c>
      <c r="O24">
        <v>1.9572172589999999E-2</v>
      </c>
      <c r="P24" s="36">
        <f t="shared" si="2"/>
        <v>9.0295768726138554E-3</v>
      </c>
      <c r="Q24">
        <v>0.16814007678999998</v>
      </c>
      <c r="R24" s="36">
        <f t="shared" si="3"/>
        <v>4.1139502129836095E-2</v>
      </c>
      <c r="S24" s="33">
        <v>-9.6648601099999997E-4</v>
      </c>
      <c r="T24" s="36">
        <f t="shared" si="4"/>
        <v>9.3409520945869202E-7</v>
      </c>
      <c r="U24" s="34">
        <v>-6.3481314899999997E-4</v>
      </c>
      <c r="V24" s="36">
        <f t="shared" si="5"/>
        <v>4.0298773414329619E-7</v>
      </c>
      <c r="W24" s="35">
        <v>-1.41557844E-2</v>
      </c>
      <c r="X24" s="36">
        <f t="shared" si="6"/>
        <v>2.0038623197928335E-4</v>
      </c>
      <c r="Y24" s="36">
        <v>-1.8240824300000001E-3</v>
      </c>
      <c r="Z24" s="36">
        <f t="shared" si="7"/>
        <v>3.3272767114347052E-6</v>
      </c>
    </row>
    <row r="25" spans="1:26">
      <c r="A25" s="5">
        <v>11</v>
      </c>
      <c r="B25" s="6">
        <v>42520.548611053244</v>
      </c>
      <c r="C25" s="6">
        <v>42520.548611053244</v>
      </c>
      <c r="D25" s="7">
        <v>0</v>
      </c>
      <c r="E25" s="8"/>
      <c r="F25" s="8"/>
      <c r="G25" s="9"/>
      <c r="H25">
        <v>1482.74</v>
      </c>
      <c r="I25">
        <v>421.10599999999999</v>
      </c>
      <c r="J25">
        <v>65.333399999999997</v>
      </c>
      <c r="K25">
        <v>4.4726838755000005E-2</v>
      </c>
      <c r="L25" s="36">
        <f t="shared" si="0"/>
        <v>6.5658262611857131E-3</v>
      </c>
      <c r="M25">
        <v>0.15821057331999999</v>
      </c>
      <c r="N25" s="36">
        <f t="shared" si="1"/>
        <v>5.3449952448261125E-2</v>
      </c>
      <c r="O25">
        <v>7.4014525383000004E-2</v>
      </c>
      <c r="P25" s="36">
        <f t="shared" si="2"/>
        <v>1.6468770497892042E-3</v>
      </c>
      <c r="Q25">
        <v>0.70130347869000009</v>
      </c>
      <c r="R25" s="36">
        <f t="shared" si="3"/>
        <v>0.10912098175197128</v>
      </c>
      <c r="S25" s="33">
        <v>-4.3985638899999999E-2</v>
      </c>
      <c r="T25" s="36">
        <f t="shared" si="4"/>
        <v>1.9347364294411932E-3</v>
      </c>
      <c r="U25" s="34">
        <v>3.2496162199999998E-2</v>
      </c>
      <c r="V25" s="36">
        <f t="shared" si="5"/>
        <v>1.0560005577287088E-3</v>
      </c>
      <c r="W25" s="35">
        <v>8.7934942399999994E-2</v>
      </c>
      <c r="X25" s="36">
        <f t="shared" si="6"/>
        <v>7.732554094891317E-3</v>
      </c>
      <c r="Y25" s="36">
        <v>-5.4700881600000001E-2</v>
      </c>
      <c r="Z25" s="36">
        <f t="shared" si="7"/>
        <v>2.9921864478172186E-3</v>
      </c>
    </row>
    <row r="26" spans="1:26">
      <c r="A26" s="5">
        <v>12</v>
      </c>
      <c r="B26" s="6">
        <v>42520.549305497683</v>
      </c>
      <c r="C26" s="6">
        <v>42520.549305497683</v>
      </c>
      <c r="D26" s="7">
        <v>0</v>
      </c>
      <c r="E26" s="8"/>
      <c r="F26" s="8"/>
      <c r="G26" s="9"/>
      <c r="H26">
        <v>1481.14</v>
      </c>
      <c r="I26">
        <v>310.27000000000004</v>
      </c>
      <c r="J26">
        <v>419.38028000000003</v>
      </c>
      <c r="K26">
        <v>0.1423846641</v>
      </c>
      <c r="L26" s="36">
        <f t="shared" si="0"/>
        <v>2.7649168384421256E-4</v>
      </c>
      <c r="M26">
        <v>0.43080539736000001</v>
      </c>
      <c r="N26" s="36">
        <f t="shared" si="1"/>
        <v>1.7141559473454085E-3</v>
      </c>
      <c r="O26">
        <v>0.2060471472</v>
      </c>
      <c r="P26" s="36">
        <f t="shared" si="2"/>
        <v>8.3632650732932117E-3</v>
      </c>
      <c r="Q26">
        <v>0.23081661091999997</v>
      </c>
      <c r="R26" s="36">
        <f t="shared" si="3"/>
        <v>1.9642643822829473E-2</v>
      </c>
      <c r="S26" s="33">
        <v>-1.7744489700000001E-2</v>
      </c>
      <c r="T26" s="36">
        <f t="shared" si="4"/>
        <v>3.1486691471340611E-4</v>
      </c>
      <c r="U26" s="34">
        <v>7.3456898999999997E-3</v>
      </c>
      <c r="V26" s="36">
        <f t="shared" si="5"/>
        <v>5.3959160106962007E-5</v>
      </c>
      <c r="W26" s="35">
        <v>2.5493630999999999E-2</v>
      </c>
      <c r="X26" s="36">
        <f t="shared" si="6"/>
        <v>6.4992522156416099E-4</v>
      </c>
      <c r="Y26" s="36">
        <v>-2.5148650200000001E-2</v>
      </c>
      <c r="Z26" s="36">
        <f t="shared" si="7"/>
        <v>6.3245460688196012E-4</v>
      </c>
    </row>
    <row r="27" spans="1:26">
      <c r="A27" s="5">
        <v>13</v>
      </c>
      <c r="B27" s="6">
        <v>42520.54999994213</v>
      </c>
      <c r="C27" s="6">
        <v>42520.54999994213</v>
      </c>
      <c r="D27" s="7">
        <v>0</v>
      </c>
      <c r="E27" s="8"/>
      <c r="F27" s="8"/>
      <c r="G27" s="9"/>
      <c r="H27">
        <v>1720.62</v>
      </c>
      <c r="I27">
        <v>473.38200000000006</v>
      </c>
      <c r="J27">
        <v>217.27200000000002</v>
      </c>
      <c r="K27">
        <v>0.17713515845</v>
      </c>
      <c r="L27" s="36">
        <f t="shared" si="0"/>
        <v>2.6397536980300564E-3</v>
      </c>
      <c r="M27">
        <v>0.50798553899999999</v>
      </c>
      <c r="N27" s="36">
        <f t="shared" si="1"/>
        <v>1.4061811224013628E-2</v>
      </c>
      <c r="O27">
        <v>3.4943228064E-2</v>
      </c>
      <c r="P27" s="36">
        <f t="shared" si="2"/>
        <v>6.3446052321414117E-3</v>
      </c>
      <c r="Q27">
        <v>0.24842788222000001</v>
      </c>
      <c r="R27" s="36">
        <f t="shared" si="3"/>
        <v>1.5016283279333471E-2</v>
      </c>
      <c r="S27" s="33">
        <v>6.0155634099999999E-3</v>
      </c>
      <c r="T27" s="36">
        <f t="shared" si="4"/>
        <v>3.618700313973083E-5</v>
      </c>
      <c r="U27" s="34">
        <v>-4.6960343800000002E-3</v>
      </c>
      <c r="V27" s="36">
        <f t="shared" si="5"/>
        <v>2.2052738898141987E-5</v>
      </c>
      <c r="W27" s="35">
        <v>1.7993083600000001E-2</v>
      </c>
      <c r="X27" s="36">
        <f t="shared" si="6"/>
        <v>3.2375105743658901E-4</v>
      </c>
      <c r="Y27" s="36">
        <v>1.2195580399999999E-2</v>
      </c>
      <c r="Z27" s="36">
        <f t="shared" si="7"/>
        <v>1.4873218129286416E-4</v>
      </c>
    </row>
    <row r="28" spans="1:26">
      <c r="A28" s="5">
        <v>14</v>
      </c>
      <c r="B28" s="6">
        <v>42520.550694386577</v>
      </c>
      <c r="C28" s="6">
        <v>42520.550694386577</v>
      </c>
      <c r="D28" s="7">
        <v>0</v>
      </c>
      <c r="E28" s="10"/>
      <c r="F28" s="10"/>
      <c r="G28" s="11"/>
      <c r="H28">
        <v>1588</v>
      </c>
      <c r="I28">
        <v>379.48800000000006</v>
      </c>
      <c r="J28">
        <v>114.68116000000001</v>
      </c>
      <c r="K28">
        <v>0.10038928600000001</v>
      </c>
      <c r="L28" s="36">
        <f t="shared" si="0"/>
        <v>6.4350188865323703E-4</v>
      </c>
      <c r="M28">
        <v>0.30729996024</v>
      </c>
      <c r="N28" s="36">
        <f t="shared" si="1"/>
        <v>6.7409142140670364E-3</v>
      </c>
      <c r="O28">
        <v>6.4927091025999986E-2</v>
      </c>
      <c r="P28" s="36">
        <f t="shared" si="2"/>
        <v>2.4670261816611637E-3</v>
      </c>
      <c r="Q28">
        <v>0.50419357721000002</v>
      </c>
      <c r="R28" s="36">
        <f t="shared" si="3"/>
        <v>1.7748833925270997E-2</v>
      </c>
      <c r="S28" s="33">
        <v>-3.9697296299999997E-2</v>
      </c>
      <c r="T28" s="36">
        <f t="shared" si="4"/>
        <v>1.5758753335299934E-3</v>
      </c>
      <c r="U28" s="34">
        <v>2.6144554800000001E-2</v>
      </c>
      <c r="V28" s="36">
        <f t="shared" si="5"/>
        <v>6.8353774569020307E-4</v>
      </c>
      <c r="W28" s="35">
        <v>8.3971536499999999E-2</v>
      </c>
      <c r="X28" s="36">
        <f t="shared" si="6"/>
        <v>7.0512189421708324E-3</v>
      </c>
      <c r="Y28" s="36">
        <v>-4.7228708899999999E-2</v>
      </c>
      <c r="Z28" s="36">
        <f t="shared" si="7"/>
        <v>2.2305509443609393E-3</v>
      </c>
    </row>
    <row r="29" spans="1:26">
      <c r="A29" s="5">
        <v>15</v>
      </c>
      <c r="B29" s="6">
        <v>42520.551388831016</v>
      </c>
      <c r="C29" s="6">
        <v>42520.551388831016</v>
      </c>
      <c r="D29" s="7">
        <v>0</v>
      </c>
      <c r="E29" s="12"/>
      <c r="F29" s="10"/>
      <c r="G29" s="11"/>
      <c r="H29">
        <v>1313.76</v>
      </c>
      <c r="I29">
        <v>532.79999999999995</v>
      </c>
      <c r="J29">
        <v>306.78384000000005</v>
      </c>
      <c r="K29">
        <v>7.686084591499999E-2</v>
      </c>
      <c r="L29" s="36">
        <f t="shared" si="0"/>
        <v>2.3907972137021207E-3</v>
      </c>
      <c r="M29">
        <v>0.22664252730000001</v>
      </c>
      <c r="N29" s="36">
        <f t="shared" si="1"/>
        <v>2.6490981536617879E-2</v>
      </c>
      <c r="O29">
        <v>0.27984115854000002</v>
      </c>
      <c r="P29" s="36">
        <f t="shared" si="2"/>
        <v>2.7305877042124487E-2</v>
      </c>
      <c r="Q29">
        <v>0.43124148600000001</v>
      </c>
      <c r="R29" s="36">
        <f t="shared" si="3"/>
        <v>3.632793358123919E-3</v>
      </c>
      <c r="S29" s="33">
        <v>-1.2221429799999999E-2</v>
      </c>
      <c r="T29" s="36">
        <f t="shared" si="4"/>
        <v>1.4936334635632802E-4</v>
      </c>
      <c r="U29" s="34">
        <v>-7.1841544899999997E-4</v>
      </c>
      <c r="V29" s="36">
        <f t="shared" si="5"/>
        <v>5.1612075736187157E-7</v>
      </c>
      <c r="W29" s="35">
        <v>1.16661956E-2</v>
      </c>
      <c r="X29" s="36">
        <f t="shared" si="6"/>
        <v>1.3610011977745936E-4</v>
      </c>
      <c r="Y29" s="36">
        <v>-1.33123684E-2</v>
      </c>
      <c r="Z29" s="36">
        <f t="shared" si="7"/>
        <v>1.7721915241731857E-4</v>
      </c>
    </row>
    <row r="30" spans="1:26">
      <c r="A30" s="5">
        <v>16</v>
      </c>
      <c r="B30" s="6">
        <v>42520.552083275463</v>
      </c>
      <c r="C30" s="6">
        <v>42520.552083275463</v>
      </c>
      <c r="D30" s="7">
        <v>0</v>
      </c>
      <c r="E30" s="8"/>
      <c r="F30" s="8"/>
      <c r="G30" s="9"/>
      <c r="H30">
        <v>1266.82</v>
      </c>
      <c r="I30">
        <v>399.86099999999999</v>
      </c>
      <c r="J30">
        <v>366.79192</v>
      </c>
      <c r="K30">
        <v>8.8463117160000007E-2</v>
      </c>
      <c r="L30" s="36">
        <f t="shared" si="0"/>
        <v>1.390805728059345E-3</v>
      </c>
      <c r="M30">
        <v>0.27957803233</v>
      </c>
      <c r="N30" s="36">
        <f t="shared" si="1"/>
        <v>1.2061530313931723E-2</v>
      </c>
      <c r="O30">
        <v>0.27761012872999996</v>
      </c>
      <c r="P30" s="36">
        <f t="shared" si="2"/>
        <v>2.6573521939544001E-2</v>
      </c>
      <c r="Q30">
        <v>0.35111374773999998</v>
      </c>
      <c r="R30" s="36">
        <f t="shared" si="3"/>
        <v>3.9422419376945977E-4</v>
      </c>
      <c r="S30" s="33">
        <v>3.3871858599999999E-2</v>
      </c>
      <c r="T30" s="36">
        <f t="shared" si="4"/>
        <v>1.147302805018394E-3</v>
      </c>
      <c r="U30" s="34">
        <v>-1.5916421E-2</v>
      </c>
      <c r="V30" s="36">
        <f t="shared" si="5"/>
        <v>2.5333245744924102E-4</v>
      </c>
      <c r="W30" s="35">
        <v>-5.27050435E-2</v>
      </c>
      <c r="X30" s="36">
        <f t="shared" si="6"/>
        <v>2.7778216103368923E-3</v>
      </c>
      <c r="Y30" s="36">
        <v>3.7984579900000003E-2</v>
      </c>
      <c r="Z30" s="36">
        <f t="shared" si="7"/>
        <v>1.4428283101794843E-3</v>
      </c>
    </row>
    <row r="31" spans="1:26">
      <c r="A31" s="5">
        <v>17</v>
      </c>
      <c r="B31" s="6">
        <v>42520.552777719909</v>
      </c>
      <c r="C31" s="6">
        <v>42520.552777719909</v>
      </c>
      <c r="D31" s="7">
        <v>0</v>
      </c>
      <c r="E31" s="8"/>
      <c r="F31" s="8"/>
      <c r="G31" s="9"/>
      <c r="H31">
        <v>1622.06</v>
      </c>
      <c r="I31">
        <v>546.81399999999996</v>
      </c>
      <c r="J31">
        <v>181.93735999999998</v>
      </c>
      <c r="K31">
        <v>0.13595866176000002</v>
      </c>
      <c r="L31" s="36">
        <f t="shared" si="0"/>
        <v>1.0408155376591781E-4</v>
      </c>
      <c r="M31">
        <v>0.43489954199999997</v>
      </c>
      <c r="N31" s="36">
        <f t="shared" si="1"/>
        <v>2.0699325210166951E-3</v>
      </c>
      <c r="O31">
        <v>6.3664340299999997E-2</v>
      </c>
      <c r="P31" s="36">
        <f t="shared" si="2"/>
        <v>2.5940602752281879E-3</v>
      </c>
      <c r="Q31">
        <v>0.35981251199999997</v>
      </c>
      <c r="R31" s="36">
        <f t="shared" si="3"/>
        <v>1.2446337637471796E-4</v>
      </c>
      <c r="S31" s="33">
        <v>-3.9849826299999998E-3</v>
      </c>
      <c r="T31" s="36">
        <f t="shared" si="4"/>
        <v>1.5880086561401717E-5</v>
      </c>
      <c r="U31" s="34">
        <v>8.9244106799999997E-3</v>
      </c>
      <c r="V31" s="36">
        <f t="shared" si="5"/>
        <v>7.9645105985298053E-5</v>
      </c>
      <c r="W31" s="35">
        <v>9.6648020000000001E-3</v>
      </c>
      <c r="X31" s="36">
        <f t="shared" si="6"/>
        <v>9.3408397699203997E-5</v>
      </c>
      <c r="Y31" s="36">
        <v>-8.9392860399999993E-3</v>
      </c>
      <c r="Z31" s="36">
        <f t="shared" si="7"/>
        <v>7.9910834904938871E-5</v>
      </c>
    </row>
    <row r="32" spans="1:26">
      <c r="A32" s="5">
        <v>18</v>
      </c>
      <c r="B32" s="6">
        <v>42520.553472164349</v>
      </c>
      <c r="C32" s="6">
        <v>42520.553472164349</v>
      </c>
      <c r="D32" s="7">
        <v>0</v>
      </c>
      <c r="E32" s="8"/>
      <c r="F32" s="8"/>
      <c r="G32" s="9"/>
      <c r="H32">
        <v>1773.56</v>
      </c>
      <c r="I32">
        <v>321.79199999999997</v>
      </c>
      <c r="J32">
        <v>79.513280000000009</v>
      </c>
      <c r="K32">
        <v>7.411407895500001E-2</v>
      </c>
      <c r="L32" s="36">
        <f t="shared" si="0"/>
        <v>2.66695256346007E-3</v>
      </c>
      <c r="M32">
        <v>0.23279653973999997</v>
      </c>
      <c r="N32" s="36">
        <f t="shared" si="1"/>
        <v>2.4525593077769581E-2</v>
      </c>
      <c r="O32">
        <v>6.2733819527000009E-2</v>
      </c>
      <c r="P32" s="36">
        <f t="shared" si="2"/>
        <v>2.6897125596269849E-3</v>
      </c>
      <c r="Q32">
        <v>0.67461710820000009</v>
      </c>
      <c r="R32" s="36">
        <f t="shared" si="3"/>
        <v>9.2202278349225647E-2</v>
      </c>
      <c r="S32" s="33">
        <v>-6.1526665199999997E-2</v>
      </c>
      <c r="T32" s="36">
        <f t="shared" si="4"/>
        <v>3.7855305306328906E-3</v>
      </c>
      <c r="U32" s="34">
        <v>4.0481810200000003E-2</v>
      </c>
      <c r="V32" s="36">
        <f t="shared" si="5"/>
        <v>1.6387769570688244E-3</v>
      </c>
      <c r="W32" s="35">
        <v>0.123834366</v>
      </c>
      <c r="X32" s="36">
        <f t="shared" si="6"/>
        <v>1.5334950202621956E-2</v>
      </c>
      <c r="Y32" s="36">
        <v>-0.14705105800000001</v>
      </c>
      <c r="Z32" s="36">
        <f t="shared" si="7"/>
        <v>2.1624013658919368E-2</v>
      </c>
    </row>
    <row r="33" spans="1:26">
      <c r="A33" s="5">
        <v>19</v>
      </c>
      <c r="B33" s="6">
        <v>42520.554166608796</v>
      </c>
      <c r="C33" s="6">
        <v>42520.554166608796</v>
      </c>
      <c r="D33" s="7">
        <v>0</v>
      </c>
      <c r="E33" s="8"/>
      <c r="F33" s="8"/>
      <c r="G33" s="9"/>
      <c r="H33">
        <v>1528.8</v>
      </c>
      <c r="I33">
        <v>463.24599999999998</v>
      </c>
      <c r="J33">
        <v>287.51008000000002</v>
      </c>
      <c r="K33">
        <v>0.12089112057</v>
      </c>
      <c r="L33" s="36">
        <f t="shared" si="0"/>
        <v>2.3673133494973317E-5</v>
      </c>
      <c r="M33">
        <v>0.35669961694999996</v>
      </c>
      <c r="N33" s="36">
        <f t="shared" si="1"/>
        <v>1.0695132848876868E-3</v>
      </c>
      <c r="O33">
        <v>0.16434517680000002</v>
      </c>
      <c r="P33" s="36">
        <f t="shared" si="2"/>
        <v>2.4749548879447023E-3</v>
      </c>
      <c r="Q33">
        <v>0.33136816185000001</v>
      </c>
      <c r="R33" s="36">
        <f t="shared" si="3"/>
        <v>1.5682127229018478E-3</v>
      </c>
      <c r="S33" s="33">
        <v>-2.6725474799999999E-2</v>
      </c>
      <c r="T33" s="36">
        <f t="shared" si="4"/>
        <v>7.1425100328543502E-4</v>
      </c>
      <c r="U33" s="34">
        <v>2.08853939E-2</v>
      </c>
      <c r="V33" s="36">
        <f t="shared" si="5"/>
        <v>4.3619967835815721E-4</v>
      </c>
      <c r="W33" s="35">
        <v>7.7199550300000003E-2</v>
      </c>
      <c r="X33" s="36">
        <f t="shared" si="6"/>
        <v>5.9597705665222307E-3</v>
      </c>
      <c r="Y33" s="36">
        <v>-4.4663546300000002E-2</v>
      </c>
      <c r="Z33" s="36">
        <f t="shared" si="7"/>
        <v>1.994832368092244E-3</v>
      </c>
    </row>
    <row r="34" spans="1:26">
      <c r="A34" s="5">
        <v>20</v>
      </c>
      <c r="B34" s="6">
        <v>42520.554861053242</v>
      </c>
      <c r="C34" s="6">
        <v>42520.554861053242</v>
      </c>
      <c r="D34" s="7">
        <v>0</v>
      </c>
      <c r="E34" s="10"/>
      <c r="F34" s="10"/>
      <c r="G34" s="11"/>
      <c r="H34">
        <v>1607.55</v>
      </c>
      <c r="I34">
        <v>312.83199999999999</v>
      </c>
      <c r="J34">
        <v>236.52508000000003</v>
      </c>
      <c r="K34">
        <v>0.16298287949999998</v>
      </c>
      <c r="L34" s="36">
        <f t="shared" si="0"/>
        <v>1.3857940230534535E-3</v>
      </c>
      <c r="M34">
        <v>0.47935571014000006</v>
      </c>
      <c r="N34" s="36">
        <f t="shared" si="1"/>
        <v>8.0914844999716001E-3</v>
      </c>
      <c r="O34">
        <v>7.4269321159999999E-2</v>
      </c>
      <c r="P34" s="36">
        <f t="shared" si="2"/>
        <v>1.6262618623156364E-3</v>
      </c>
      <c r="Q34">
        <v>0.30075007388999997</v>
      </c>
      <c r="R34" s="36">
        <f t="shared" si="3"/>
        <v>4.9306733638237411E-3</v>
      </c>
      <c r="S34" s="33">
        <v>-1.6605198200000001E-2</v>
      </c>
      <c r="T34" s="36">
        <f t="shared" si="4"/>
        <v>2.7573260726128325E-4</v>
      </c>
      <c r="U34" s="34">
        <v>6.90319869E-3</v>
      </c>
      <c r="V34" s="36">
        <f t="shared" si="5"/>
        <v>4.7654152153617716E-5</v>
      </c>
      <c r="W34" s="35">
        <v>3.8786401400000003E-2</v>
      </c>
      <c r="X34" s="36">
        <f t="shared" si="6"/>
        <v>1.5043849335619223E-3</v>
      </c>
      <c r="Y34" s="36">
        <v>-4.64423869E-2</v>
      </c>
      <c r="Z34" s="36">
        <f t="shared" si="7"/>
        <v>2.1568953009692918E-3</v>
      </c>
    </row>
    <row r="35" spans="1:26">
      <c r="A35" s="5">
        <v>21</v>
      </c>
      <c r="B35" s="6">
        <v>42520.555555497682</v>
      </c>
      <c r="C35" s="6">
        <v>42520.555555497682</v>
      </c>
      <c r="D35" s="7">
        <v>0</v>
      </c>
      <c r="E35" s="12"/>
      <c r="F35" s="10"/>
      <c r="G35" s="11"/>
      <c r="H35">
        <v>1812.69</v>
      </c>
      <c r="I35">
        <v>460.21499999999997</v>
      </c>
      <c r="J35">
        <v>406.25420000000003</v>
      </c>
      <c r="K35">
        <v>0.20790223099999999</v>
      </c>
      <c r="L35" s="36">
        <f t="shared" si="0"/>
        <v>6.7479005828005815E-3</v>
      </c>
      <c r="M35">
        <v>0.59809378475000008</v>
      </c>
      <c r="N35" s="36">
        <f t="shared" si="1"/>
        <v>4.3551830736721357E-2</v>
      </c>
      <c r="O35">
        <v>7.9456280394000003E-2</v>
      </c>
      <c r="P35" s="36">
        <f t="shared" si="2"/>
        <v>1.2348180500418545E-3</v>
      </c>
      <c r="Q35">
        <v>8.9652511725000009E-2</v>
      </c>
      <c r="R35" s="36">
        <f t="shared" si="3"/>
        <v>7.91388695423801E-2</v>
      </c>
      <c r="S35" s="33">
        <v>-1.70198914E-3</v>
      </c>
      <c r="T35" s="36">
        <f t="shared" si="4"/>
        <v>2.8967670326779395E-6</v>
      </c>
      <c r="U35" s="34">
        <v>-4.3088234899999996E-3</v>
      </c>
      <c r="V35" s="36">
        <f t="shared" si="5"/>
        <v>1.8565959867975775E-5</v>
      </c>
      <c r="W35" s="35">
        <v>1.8793603900000001E-2</v>
      </c>
      <c r="X35" s="36">
        <f t="shared" si="6"/>
        <v>3.5319954755009522E-4</v>
      </c>
      <c r="Y35" s="36">
        <v>1.21124007E-2</v>
      </c>
      <c r="Z35" s="36">
        <f t="shared" si="7"/>
        <v>1.4671025071736048E-4</v>
      </c>
    </row>
    <row r="36" spans="1:26">
      <c r="A36" s="5">
        <v>22</v>
      </c>
      <c r="B36" s="6">
        <v>42520.556249942128</v>
      </c>
      <c r="C36" s="6">
        <v>42520.556249942128</v>
      </c>
      <c r="D36" s="7">
        <v>0</v>
      </c>
      <c r="E36" s="8"/>
      <c r="F36" s="8"/>
      <c r="G36" s="9"/>
      <c r="H36">
        <v>1664.19</v>
      </c>
      <c r="I36">
        <v>380.58499999999998</v>
      </c>
      <c r="J36">
        <v>312.20420000000001</v>
      </c>
      <c r="K36">
        <v>0.19592213024999999</v>
      </c>
      <c r="L36" s="36">
        <f t="shared" si="0"/>
        <v>4.9231981250175251E-3</v>
      </c>
      <c r="M36">
        <v>0.55553514506000001</v>
      </c>
      <c r="N36" s="36">
        <f t="shared" si="1"/>
        <v>2.759987935068595E-2</v>
      </c>
      <c r="O36">
        <v>7.6805853305999996E-2</v>
      </c>
      <c r="P36" s="36">
        <f t="shared" si="2"/>
        <v>1.4281147126299963E-3</v>
      </c>
      <c r="Q36">
        <v>0.16816157799999998</v>
      </c>
      <c r="R36" s="36">
        <f t="shared" si="3"/>
        <v>4.1130780465010404E-2</v>
      </c>
      <c r="S36" s="33">
        <v>2.9077883400000001E-3</v>
      </c>
      <c r="T36" s="36">
        <f t="shared" si="4"/>
        <v>8.4552330302399557E-6</v>
      </c>
      <c r="U36" s="34">
        <v>-1.4535326899999999E-2</v>
      </c>
      <c r="V36" s="36">
        <f t="shared" si="5"/>
        <v>2.112757280898636E-4</v>
      </c>
      <c r="W36" s="35">
        <v>-3.9997169899999999E-3</v>
      </c>
      <c r="X36" s="36">
        <f t="shared" si="6"/>
        <v>1.599773600009466E-5</v>
      </c>
      <c r="Y36" s="36">
        <v>1.9202549499999999E-2</v>
      </c>
      <c r="Z36" s="36">
        <f t="shared" si="7"/>
        <v>3.6873790729995023E-4</v>
      </c>
    </row>
    <row r="37" spans="1:26">
      <c r="A37" s="5">
        <v>23</v>
      </c>
      <c r="B37" s="6">
        <v>42520.556944386575</v>
      </c>
      <c r="C37" s="6">
        <v>42520.556944386575</v>
      </c>
      <c r="D37" s="7">
        <v>0</v>
      </c>
      <c r="E37" s="8"/>
      <c r="F37" s="8"/>
      <c r="G37" s="9"/>
      <c r="H37">
        <v>1325.76</v>
      </c>
      <c r="I37">
        <v>481.65</v>
      </c>
      <c r="J37">
        <v>131.94236000000001</v>
      </c>
      <c r="K37">
        <v>8.7914462615999986E-2</v>
      </c>
      <c r="L37" s="36">
        <f t="shared" si="0"/>
        <v>1.4320292549596359E-3</v>
      </c>
      <c r="M37">
        <v>0.26059647035</v>
      </c>
      <c r="N37" s="36">
        <f t="shared" si="1"/>
        <v>1.659113004427594E-2</v>
      </c>
      <c r="O37">
        <v>9.7548658559999987E-2</v>
      </c>
      <c r="P37" s="36">
        <f t="shared" si="2"/>
        <v>2.9062065825735282E-4</v>
      </c>
      <c r="Q37">
        <v>0.56070811636000006</v>
      </c>
      <c r="R37" s="36">
        <f t="shared" si="3"/>
        <v>3.6000997722826368E-2</v>
      </c>
      <c r="S37" s="33">
        <v>3.7023094700000002E-2</v>
      </c>
      <c r="T37" s="36">
        <f t="shared" si="4"/>
        <v>1.3707095411651681E-3</v>
      </c>
      <c r="U37" s="34">
        <v>-2.4449660599999999E-2</v>
      </c>
      <c r="V37" s="36">
        <f t="shared" si="5"/>
        <v>5.9778590345519237E-4</v>
      </c>
      <c r="W37" s="35">
        <v>-5.6966105199999999E-2</v>
      </c>
      <c r="X37" s="36">
        <f t="shared" si="6"/>
        <v>3.2451371416574669E-3</v>
      </c>
      <c r="Y37" s="36">
        <v>3.7624963099999999E-2</v>
      </c>
      <c r="Z37" s="36">
        <f t="shared" si="7"/>
        <v>1.4156378482763615E-3</v>
      </c>
    </row>
    <row r="38" spans="1:26">
      <c r="A38" s="5">
        <v>24</v>
      </c>
      <c r="B38" s="6">
        <v>42520.557638831022</v>
      </c>
      <c r="C38" s="6">
        <v>42520.557638831022</v>
      </c>
      <c r="D38" s="7">
        <v>0</v>
      </c>
      <c r="E38" s="8"/>
      <c r="F38" s="8"/>
      <c r="G38" s="9"/>
      <c r="H38">
        <v>1384.32</v>
      </c>
      <c r="I38">
        <v>330.72</v>
      </c>
      <c r="J38">
        <v>267.08219999999994</v>
      </c>
      <c r="K38">
        <v>0.11039144688000001</v>
      </c>
      <c r="L38" s="36">
        <f t="shared" si="0"/>
        <v>2.3608869909078162E-4</v>
      </c>
      <c r="M38">
        <v>0.32172903238000006</v>
      </c>
      <c r="N38" s="36">
        <f t="shared" si="1"/>
        <v>4.5797700775527892E-3</v>
      </c>
      <c r="O38">
        <v>0.17701375526999999</v>
      </c>
      <c r="P38" s="36">
        <f t="shared" si="2"/>
        <v>3.8959439230127958E-3</v>
      </c>
      <c r="Q38">
        <v>0.38289009725999995</v>
      </c>
      <c r="R38" s="36">
        <f t="shared" si="3"/>
        <v>1.4211667179397239E-4</v>
      </c>
      <c r="S38" s="33">
        <v>1.03508837E-3</v>
      </c>
      <c r="T38" s="36">
        <f t="shared" si="4"/>
        <v>1.071407933709257E-6</v>
      </c>
      <c r="U38" s="34">
        <v>1.0821399399999999E-3</v>
      </c>
      <c r="V38" s="36">
        <f t="shared" si="5"/>
        <v>1.1710268497432034E-6</v>
      </c>
      <c r="W38" s="35">
        <v>2.2251148299999999E-2</v>
      </c>
      <c r="X38" s="36">
        <f t="shared" si="6"/>
        <v>4.9511360066859281E-4</v>
      </c>
      <c r="Y38" s="36">
        <v>-1.63927076E-2</v>
      </c>
      <c r="Z38" s="36">
        <f t="shared" si="7"/>
        <v>2.6872086245909775E-4</v>
      </c>
    </row>
    <row r="39" spans="1:26">
      <c r="A39" s="5">
        <v>25</v>
      </c>
      <c r="B39" s="6">
        <v>42520.558333275461</v>
      </c>
      <c r="C39" s="6">
        <v>42520.558333275461</v>
      </c>
      <c r="D39" s="7">
        <v>0</v>
      </c>
      <c r="E39" s="8"/>
      <c r="F39" s="8"/>
      <c r="G39" s="9"/>
      <c r="H39">
        <v>1578.24</v>
      </c>
      <c r="I39">
        <v>437.28</v>
      </c>
      <c r="J39">
        <v>54.673079999999999</v>
      </c>
      <c r="K39">
        <v>3.7981296623000003E-2</v>
      </c>
      <c r="L39" s="36">
        <f t="shared" si="0"/>
        <v>7.7045082741549163E-3</v>
      </c>
      <c r="M39">
        <v>0.12684762139999997</v>
      </c>
      <c r="N39" s="36">
        <f t="shared" si="1"/>
        <v>6.8935343064959381E-2</v>
      </c>
      <c r="O39">
        <v>6.4318783842000002E-2</v>
      </c>
      <c r="P39" s="36">
        <f t="shared" si="2"/>
        <v>2.5278244418920157E-3</v>
      </c>
      <c r="Q39">
        <v>0.74072910055999996</v>
      </c>
      <c r="R39" s="36">
        <f t="shared" si="3"/>
        <v>0.1367226595055924</v>
      </c>
      <c r="S39" s="33">
        <v>-5.4339323600000003E-2</v>
      </c>
      <c r="T39" s="36">
        <f t="shared" si="4"/>
        <v>2.9527620893055172E-3</v>
      </c>
      <c r="U39" s="34">
        <v>4.2895751400000001E-2</v>
      </c>
      <c r="V39" s="36">
        <f t="shared" si="5"/>
        <v>1.840045488170602E-3</v>
      </c>
      <c r="W39" s="35">
        <v>0.13043821799999999</v>
      </c>
      <c r="X39" s="36">
        <f t="shared" si="6"/>
        <v>1.7014128715015522E-2</v>
      </c>
      <c r="Y39" s="36">
        <v>-8.8871448800000002E-2</v>
      </c>
      <c r="Z39" s="36">
        <f t="shared" si="7"/>
        <v>7.8981344118110221E-3</v>
      </c>
    </row>
    <row r="40" spans="1:26">
      <c r="A40" s="5">
        <v>26</v>
      </c>
      <c r="B40" s="6">
        <v>42520.559027719908</v>
      </c>
      <c r="C40" s="6">
        <v>42520.559027719908</v>
      </c>
      <c r="D40" s="7">
        <v>0</v>
      </c>
      <c r="E40" s="10"/>
      <c r="F40" s="10"/>
      <c r="G40" s="11"/>
      <c r="H40">
        <v>1704.3</v>
      </c>
      <c r="I40">
        <v>382.83299999999997</v>
      </c>
      <c r="J40">
        <v>158.47128000000001</v>
      </c>
      <c r="K40">
        <v>0.14449257408000002</v>
      </c>
      <c r="L40" s="36">
        <f t="shared" si="0"/>
        <v>3.51035787402247E-4</v>
      </c>
      <c r="M40">
        <v>0.48480626669999999</v>
      </c>
      <c r="N40" s="36">
        <f t="shared" si="1"/>
        <v>9.1017773984772236E-3</v>
      </c>
      <c r="O40">
        <v>2.9231749800000002E-2</v>
      </c>
      <c r="P40" s="36">
        <f t="shared" si="2"/>
        <v>7.2870993182672025E-3</v>
      </c>
      <c r="Q40">
        <v>0.37287629496000002</v>
      </c>
      <c r="R40" s="36">
        <f t="shared" si="3"/>
        <v>3.6384319674793925E-6</v>
      </c>
      <c r="S40" s="33">
        <v>-1.0804324800000001E-2</v>
      </c>
      <c r="T40" s="36">
        <f t="shared" si="4"/>
        <v>1.1673343438389506E-4</v>
      </c>
      <c r="U40" s="34">
        <v>1.46841708E-2</v>
      </c>
      <c r="V40" s="36">
        <f t="shared" si="5"/>
        <v>2.1562487208357265E-4</v>
      </c>
      <c r="W40" s="35">
        <v>2.6071504700000002E-3</v>
      </c>
      <c r="X40" s="36">
        <f t="shared" si="6"/>
        <v>6.7972335732212217E-6</v>
      </c>
      <c r="Y40" s="36">
        <v>-3.7893882500000003E-2</v>
      </c>
      <c r="Z40" s="36">
        <f t="shared" si="7"/>
        <v>1.4359463309238066E-3</v>
      </c>
    </row>
    <row r="41" spans="1:26">
      <c r="A41" s="5">
        <v>27</v>
      </c>
      <c r="B41" s="6">
        <v>42520.559722164355</v>
      </c>
      <c r="C41" s="6">
        <v>42520.559722164355</v>
      </c>
      <c r="D41" s="7">
        <v>0</v>
      </c>
      <c r="E41" s="12"/>
      <c r="F41" s="10"/>
      <c r="G41" s="11"/>
      <c r="H41">
        <v>1494</v>
      </c>
      <c r="I41">
        <v>529.44200000000001</v>
      </c>
      <c r="J41">
        <v>342.76308</v>
      </c>
      <c r="K41">
        <v>0.13132955462000001</v>
      </c>
      <c r="L41" s="36">
        <f t="shared" si="0"/>
        <v>3.1057544392985265E-5</v>
      </c>
      <c r="M41">
        <v>0.40616928870000002</v>
      </c>
      <c r="N41" s="36">
        <f t="shared" si="1"/>
        <v>2.811074001533047E-4</v>
      </c>
      <c r="O41">
        <v>0.20376187624</v>
      </c>
      <c r="P41" s="36">
        <f t="shared" si="2"/>
        <v>7.9505074154977116E-3</v>
      </c>
      <c r="Q41">
        <v>0.27308226428999999</v>
      </c>
      <c r="R41" s="36">
        <f t="shared" si="3"/>
        <v>9.5817792644283476E-3</v>
      </c>
      <c r="S41" s="33">
        <v>-1.21154231E-2</v>
      </c>
      <c r="T41" s="36">
        <f t="shared" si="4"/>
        <v>1.4678347689201361E-4</v>
      </c>
      <c r="U41" s="34">
        <v>-2.18345727E-3</v>
      </c>
      <c r="V41" s="36">
        <f t="shared" si="5"/>
        <v>4.7674856499158531E-6</v>
      </c>
      <c r="W41" s="35">
        <v>-1.04777555E-2</v>
      </c>
      <c r="X41" s="36">
        <f t="shared" si="6"/>
        <v>1.0978336031778024E-4</v>
      </c>
      <c r="Y41" s="36">
        <v>1.04336519E-2</v>
      </c>
      <c r="Z41" s="36">
        <f t="shared" si="7"/>
        <v>1.0886109197037362E-4</v>
      </c>
    </row>
    <row r="42" spans="1:26">
      <c r="A42" s="5">
        <v>28</v>
      </c>
      <c r="B42" s="6">
        <v>42520.560416608794</v>
      </c>
      <c r="C42" s="6">
        <v>42520.560416608794</v>
      </c>
      <c r="D42" s="7">
        <v>0</v>
      </c>
      <c r="E42" s="8"/>
      <c r="F42" s="8"/>
      <c r="G42" s="9"/>
      <c r="H42">
        <v>1404.81</v>
      </c>
      <c r="I42">
        <v>338.20800000000003</v>
      </c>
      <c r="J42">
        <v>110.09856000000001</v>
      </c>
      <c r="K42">
        <v>8.3688910752000009E-2</v>
      </c>
      <c r="L42" s="36">
        <f t="shared" si="0"/>
        <v>1.7696925832326453E-3</v>
      </c>
      <c r="M42">
        <v>0.26089577729999996</v>
      </c>
      <c r="N42" s="36">
        <f t="shared" si="1"/>
        <v>1.6514114231361583E-2</v>
      </c>
      <c r="O42">
        <v>6.9000312556000004E-2</v>
      </c>
      <c r="P42" s="36">
        <f t="shared" si="2"/>
        <v>2.0789902719329104E-3</v>
      </c>
      <c r="Q42">
        <v>0.57914420471999994</v>
      </c>
      <c r="R42" s="36">
        <f t="shared" si="3"/>
        <v>4.3336987665030337E-2</v>
      </c>
      <c r="S42" s="33">
        <v>6.7484480399999996E-3</v>
      </c>
      <c r="T42" s="36">
        <f t="shared" si="4"/>
        <v>4.5541550948579839E-5</v>
      </c>
      <c r="U42" s="34">
        <v>3.0904433699999998E-3</v>
      </c>
      <c r="V42" s="36">
        <f t="shared" si="5"/>
        <v>9.5508402231769554E-6</v>
      </c>
      <c r="W42" s="35">
        <v>1.24601915E-2</v>
      </c>
      <c r="X42" s="36">
        <f t="shared" si="6"/>
        <v>1.5525637221667227E-4</v>
      </c>
      <c r="Y42" s="36">
        <v>-1.5028288900000001E-2</v>
      </c>
      <c r="Z42" s="36">
        <f t="shared" si="7"/>
        <v>2.2584946726186323E-4</v>
      </c>
    </row>
    <row r="43" spans="1:26">
      <c r="A43" s="5">
        <v>29</v>
      </c>
      <c r="B43" s="6">
        <v>42520.561111053241</v>
      </c>
      <c r="C43" s="6">
        <v>42520.561111053241</v>
      </c>
      <c r="D43" s="7">
        <v>0</v>
      </c>
      <c r="E43" s="8"/>
      <c r="F43" s="8"/>
      <c r="G43" s="9"/>
      <c r="H43">
        <v>1667.43</v>
      </c>
      <c r="I43">
        <v>475.10599999999999</v>
      </c>
      <c r="J43">
        <v>306.90264000000002</v>
      </c>
      <c r="K43">
        <v>0.17827327881999999</v>
      </c>
      <c r="L43" s="36">
        <f t="shared" si="0"/>
        <v>2.757998926975049E-3</v>
      </c>
      <c r="M43">
        <v>0.56976776049000011</v>
      </c>
      <c r="N43" s="36">
        <f t="shared" si="1"/>
        <v>3.2531435675095706E-2</v>
      </c>
      <c r="O43">
        <v>7.1178356890000002E-2</v>
      </c>
      <c r="P43" s="36">
        <f t="shared" si="2"/>
        <v>1.885114166317573E-3</v>
      </c>
      <c r="Q43">
        <v>0.18239166911999999</v>
      </c>
      <c r="R43" s="36">
        <f t="shared" si="3"/>
        <v>3.5561344676860368E-2</v>
      </c>
      <c r="S43" s="33">
        <v>2.0156911600000001E-2</v>
      </c>
      <c r="T43" s="36">
        <f t="shared" si="4"/>
        <v>4.0630108525021457E-4</v>
      </c>
      <c r="U43" s="34">
        <v>-4.7579784400000004E-3</v>
      </c>
      <c r="V43" s="36">
        <f t="shared" si="5"/>
        <v>2.2638358835504837E-5</v>
      </c>
      <c r="W43" s="35">
        <v>-4.1611685199999998E-2</v>
      </c>
      <c r="X43" s="36">
        <f t="shared" si="6"/>
        <v>1.7315323451838989E-3</v>
      </c>
      <c r="Y43" s="36">
        <v>2.4601687000000001E-2</v>
      </c>
      <c r="Z43" s="36">
        <f t="shared" si="7"/>
        <v>6.0524300324596902E-4</v>
      </c>
    </row>
    <row r="44" spans="1:26">
      <c r="A44" s="5">
        <v>30</v>
      </c>
      <c r="B44" s="6">
        <v>42520.561805497688</v>
      </c>
      <c r="C44" s="6">
        <v>42520.561805497688</v>
      </c>
      <c r="D44" s="7">
        <v>0</v>
      </c>
      <c r="E44" s="8"/>
      <c r="F44" s="8"/>
      <c r="G44" s="9"/>
      <c r="H44">
        <v>1490.55</v>
      </c>
      <c r="I44">
        <v>269.42</v>
      </c>
      <c r="J44">
        <v>394.80671999999998</v>
      </c>
      <c r="K44">
        <v>0.17397917162999998</v>
      </c>
      <c r="L44" s="36">
        <f t="shared" si="0"/>
        <v>2.3254140021284307E-3</v>
      </c>
      <c r="M44">
        <v>0.54992797362000001</v>
      </c>
      <c r="N44" s="36">
        <f t="shared" si="1"/>
        <v>2.576825723082872E-2</v>
      </c>
      <c r="O44">
        <v>0.13496832011999998</v>
      </c>
      <c r="P44" s="36">
        <f t="shared" si="2"/>
        <v>4.1502090117017201E-4</v>
      </c>
      <c r="Q44">
        <v>0.159315605</v>
      </c>
      <c r="R44" s="36">
        <f t="shared" si="3"/>
        <v>4.4797086610555044E-2</v>
      </c>
      <c r="S44" s="33">
        <v>2.6651581899999999E-2</v>
      </c>
      <c r="T44" s="36">
        <f t="shared" si="4"/>
        <v>7.1030681777240758E-4</v>
      </c>
      <c r="U44" s="34">
        <v>-1.5910088900000001E-2</v>
      </c>
      <c r="V44" s="36">
        <f t="shared" si="5"/>
        <v>2.5313092880590324E-4</v>
      </c>
      <c r="W44" s="35">
        <v>-6.8580080700000004E-2</v>
      </c>
      <c r="X44" s="36">
        <f t="shared" si="6"/>
        <v>4.7032274688185135E-3</v>
      </c>
      <c r="Y44" s="36">
        <v>3.9647516600000002E-2</v>
      </c>
      <c r="Z44" s="36">
        <f t="shared" si="7"/>
        <v>1.5719255725472757E-3</v>
      </c>
    </row>
    <row r="45" spans="1:26">
      <c r="A45" s="5">
        <v>31</v>
      </c>
      <c r="B45" s="6">
        <v>42520.562499942127</v>
      </c>
      <c r="C45" s="6">
        <v>42520.562499942127</v>
      </c>
      <c r="D45" s="7">
        <v>0</v>
      </c>
      <c r="E45" s="8"/>
      <c r="F45" s="8"/>
      <c r="G45" s="9"/>
      <c r="H45">
        <v>1307.07</v>
      </c>
      <c r="I45">
        <v>416.88900000000001</v>
      </c>
      <c r="J45">
        <v>198.71808000000001</v>
      </c>
      <c r="K45">
        <v>7.4842109283000002E-2</v>
      </c>
      <c r="L45" s="36">
        <f t="shared" si="0"/>
        <v>2.5922879121263224E-3</v>
      </c>
      <c r="M45">
        <v>0.24078380658000001</v>
      </c>
      <c r="N45" s="36">
        <f t="shared" si="1"/>
        <v>2.2087673841580439E-2</v>
      </c>
      <c r="O45">
        <v>0.19478836164000002</v>
      </c>
      <c r="P45" s="36">
        <f t="shared" si="2"/>
        <v>6.4307734316858874E-3</v>
      </c>
      <c r="Q45">
        <v>0.51424650555999996</v>
      </c>
      <c r="R45" s="36">
        <f t="shared" si="3"/>
        <v>2.0528493019487656E-2</v>
      </c>
      <c r="S45" s="33">
        <v>-4.7604513300000002E-3</v>
      </c>
      <c r="T45" s="36">
        <f t="shared" si="4"/>
        <v>2.2661896865298772E-5</v>
      </c>
      <c r="U45" s="34">
        <v>-2.6625783300000001E-3</v>
      </c>
      <c r="V45" s="36">
        <f t="shared" si="5"/>
        <v>7.0893233633855891E-6</v>
      </c>
      <c r="W45" s="35">
        <v>-1.26092641E-2</v>
      </c>
      <c r="X45" s="36">
        <f t="shared" si="6"/>
        <v>1.5899354114354879E-4</v>
      </c>
      <c r="Y45" s="36">
        <v>-4.6284902799999996E-3</v>
      </c>
      <c r="Z45" s="36">
        <f t="shared" si="7"/>
        <v>2.1422922272054475E-5</v>
      </c>
    </row>
    <row r="46" spans="1:26">
      <c r="A46" s="5">
        <v>32</v>
      </c>
      <c r="B46" s="6">
        <v>42520.563194386574</v>
      </c>
      <c r="C46" s="6">
        <v>42520.563194386574</v>
      </c>
      <c r="D46" s="7">
        <v>0</v>
      </c>
      <c r="E46" s="10"/>
      <c r="F46" s="10"/>
      <c r="G46" s="11"/>
      <c r="H46">
        <v>1329.12</v>
      </c>
      <c r="I46">
        <v>361.92</v>
      </c>
      <c r="J46">
        <v>273.88415999999995</v>
      </c>
      <c r="K46">
        <v>8.1229388144999998E-2</v>
      </c>
      <c r="L46" s="36">
        <f t="shared" si="0"/>
        <v>1.982674823191598E-3</v>
      </c>
      <c r="M46">
        <v>0.27444495333000002</v>
      </c>
      <c r="N46" s="36">
        <f t="shared" si="1"/>
        <v>1.3215359601763031E-2</v>
      </c>
      <c r="O46">
        <v>0.24140430167999999</v>
      </c>
      <c r="P46" s="36">
        <f t="shared" si="2"/>
        <v>1.6080279855731992E-2</v>
      </c>
      <c r="Q46">
        <v>0.40725935415000003</v>
      </c>
      <c r="R46" s="36">
        <f t="shared" si="3"/>
        <v>1.3170023218045921E-3</v>
      </c>
      <c r="S46" s="33">
        <v>-2.21299696E-2</v>
      </c>
      <c r="T46" s="36">
        <f t="shared" si="4"/>
        <v>4.8973555449692422E-4</v>
      </c>
      <c r="U46" s="34">
        <v>9.3885941799999994E-3</v>
      </c>
      <c r="V46" s="36">
        <f t="shared" si="5"/>
        <v>8.8145700676729857E-5</v>
      </c>
      <c r="W46" s="35">
        <v>7.3868704000000004E-3</v>
      </c>
      <c r="X46" s="36">
        <f t="shared" si="6"/>
        <v>5.4565854306396164E-5</v>
      </c>
      <c r="Y46" s="36">
        <v>1.01650798E-3</v>
      </c>
      <c r="Z46" s="36">
        <f t="shared" si="7"/>
        <v>1.0332884734036804E-6</v>
      </c>
    </row>
    <row r="47" spans="1:26">
      <c r="A47" s="5">
        <v>33</v>
      </c>
      <c r="B47" s="6">
        <v>42520.56388883102</v>
      </c>
      <c r="C47" s="6">
        <v>42520.56388883102</v>
      </c>
      <c r="D47" s="7">
        <v>0</v>
      </c>
      <c r="E47" s="12"/>
      <c r="F47" s="10"/>
      <c r="G47" s="11"/>
      <c r="H47">
        <v>1499.1</v>
      </c>
      <c r="I47">
        <v>475.79</v>
      </c>
      <c r="J47">
        <v>90.787839999999989</v>
      </c>
      <c r="K47">
        <v>6.1415509022999998E-2</v>
      </c>
      <c r="L47" s="36">
        <f t="shared" si="0"/>
        <v>4.1397792069724675E-3</v>
      </c>
      <c r="M47">
        <v>0.20850537760000001</v>
      </c>
      <c r="N47" s="36">
        <f t="shared" si="1"/>
        <v>3.2723960974439859E-2</v>
      </c>
      <c r="O47">
        <v>7.9791258986999999E-2</v>
      </c>
      <c r="P47" s="36">
        <f t="shared" si="2"/>
        <v>1.2113879799588523E-3</v>
      </c>
      <c r="Q47">
        <v>0.65688096200000001</v>
      </c>
      <c r="R47" s="36">
        <f t="shared" si="3"/>
        <v>8.1745748632839815E-2</v>
      </c>
      <c r="S47" s="33">
        <v>-3.6808220799999999E-2</v>
      </c>
      <c r="T47" s="36">
        <f t="shared" si="4"/>
        <v>1.3548451184615526E-3</v>
      </c>
      <c r="U47" s="34">
        <v>3.21360355E-2</v>
      </c>
      <c r="V47" s="36">
        <f t="shared" si="5"/>
        <v>1.0327247776572603E-3</v>
      </c>
      <c r="W47" s="35">
        <v>8.5411262000000002E-2</v>
      </c>
      <c r="X47" s="36">
        <f t="shared" si="6"/>
        <v>7.2950836764326442E-3</v>
      </c>
      <c r="Y47" s="36">
        <v>-8.7332184600000001E-2</v>
      </c>
      <c r="Z47" s="36">
        <f t="shared" si="7"/>
        <v>7.6269104670084777E-3</v>
      </c>
    </row>
    <row r="48" spans="1:26">
      <c r="A48" s="5">
        <v>34</v>
      </c>
      <c r="B48" s="6">
        <v>42520.56458327546</v>
      </c>
      <c r="C48" s="6">
        <v>42520.56458327546</v>
      </c>
      <c r="D48" s="7">
        <v>0</v>
      </c>
      <c r="E48" s="8"/>
      <c r="F48" s="8"/>
      <c r="G48" s="9"/>
      <c r="H48">
        <v>1641.6</v>
      </c>
      <c r="I48">
        <v>284.88600000000002</v>
      </c>
      <c r="J48">
        <v>184.43304000000001</v>
      </c>
      <c r="K48">
        <v>0.17774319864999999</v>
      </c>
      <c r="L48" s="36">
        <f t="shared" si="0"/>
        <v>2.7026038384070873E-3</v>
      </c>
      <c r="M48">
        <v>0.55303723668000004</v>
      </c>
      <c r="N48" s="36">
        <f t="shared" si="1"/>
        <v>2.6776153296735015E-2</v>
      </c>
      <c r="O48">
        <v>1.3402211925000001E-2</v>
      </c>
      <c r="P48" s="36">
        <f t="shared" si="2"/>
        <v>1.0240235029831062E-2</v>
      </c>
      <c r="Q48">
        <v>0.26752009424000001</v>
      </c>
      <c r="R48" s="36">
        <f t="shared" si="3"/>
        <v>1.0701640420880034E-2</v>
      </c>
      <c r="S48" s="33">
        <v>1.3560605200000001E-2</v>
      </c>
      <c r="T48" s="36">
        <f t="shared" si="4"/>
        <v>1.8389001339026706E-4</v>
      </c>
      <c r="U48" s="34">
        <v>-1.0916840299999999E-2</v>
      </c>
      <c r="V48" s="36">
        <f t="shared" si="5"/>
        <v>1.1917740213570408E-4</v>
      </c>
      <c r="W48" s="35">
        <v>-4.32923157E-2</v>
      </c>
      <c r="X48" s="36">
        <f t="shared" si="6"/>
        <v>1.8742245986684664E-3</v>
      </c>
      <c r="Y48" s="36">
        <v>2.8945808900000002E-2</v>
      </c>
      <c r="Z48" s="36">
        <f t="shared" si="7"/>
        <v>8.3785985287531935E-4</v>
      </c>
    </row>
    <row r="49" spans="1:26">
      <c r="A49" s="5">
        <v>35</v>
      </c>
      <c r="B49" s="6">
        <v>42520.565277719907</v>
      </c>
      <c r="C49" s="6">
        <v>42520.565277719907</v>
      </c>
      <c r="D49" s="7">
        <v>0</v>
      </c>
      <c r="E49" s="8"/>
      <c r="F49" s="8"/>
      <c r="G49" s="9"/>
      <c r="H49">
        <v>1442.28</v>
      </c>
      <c r="I49">
        <v>437.64</v>
      </c>
      <c r="J49">
        <v>368.92415999999997</v>
      </c>
      <c r="K49">
        <v>0.11974418119999999</v>
      </c>
      <c r="L49" s="36">
        <f t="shared" si="0"/>
        <v>3.6149480616988294E-5</v>
      </c>
      <c r="M49">
        <v>0.37454548500000001</v>
      </c>
      <c r="N49" s="36">
        <f t="shared" si="1"/>
        <v>2.207466705806819E-4</v>
      </c>
      <c r="O49">
        <v>0.21731646815999997</v>
      </c>
      <c r="P49" s="36">
        <f t="shared" si="2"/>
        <v>1.0551441505475084E-2</v>
      </c>
      <c r="Q49">
        <v>0.28243315908</v>
      </c>
      <c r="R49" s="36">
        <f t="shared" si="3"/>
        <v>7.8385645892358313E-3</v>
      </c>
      <c r="S49" s="33">
        <v>-1.1346895000000001E-3</v>
      </c>
      <c r="T49" s="36">
        <f t="shared" si="4"/>
        <v>1.2875202614102501E-6</v>
      </c>
      <c r="U49" s="34">
        <v>3.5717993200000001E-3</v>
      </c>
      <c r="V49" s="36">
        <f t="shared" si="5"/>
        <v>1.2757750382352463E-5</v>
      </c>
      <c r="W49" s="35">
        <v>3.5175594900000002E-3</v>
      </c>
      <c r="X49" s="36">
        <f t="shared" si="6"/>
        <v>1.2373224765689061E-5</v>
      </c>
      <c r="Y49" s="37">
        <v>6.0376883199999998E-6</v>
      </c>
      <c r="Z49" s="36">
        <f t="shared" si="7"/>
        <v>3.6453680249464417E-11</v>
      </c>
    </row>
    <row r="50" spans="1:26">
      <c r="A50" s="5">
        <v>36</v>
      </c>
      <c r="B50" s="6">
        <v>42520.565972164353</v>
      </c>
      <c r="C50" s="6">
        <v>42520.565972164353</v>
      </c>
      <c r="D50" s="7">
        <v>0</v>
      </c>
      <c r="E50" s="8"/>
      <c r="F50" s="8"/>
      <c r="G50" s="9"/>
      <c r="H50">
        <v>1533.06</v>
      </c>
      <c r="I50">
        <v>307.42599999999999</v>
      </c>
      <c r="J50">
        <v>142.26784000000004</v>
      </c>
      <c r="K50">
        <v>0.11905112244999999</v>
      </c>
      <c r="L50" s="36">
        <f t="shared" si="0"/>
        <v>4.4963764636347535E-5</v>
      </c>
      <c r="M50">
        <v>0.37946771492000003</v>
      </c>
      <c r="N50" s="36">
        <f t="shared" si="1"/>
        <v>9.8710503896662238E-5</v>
      </c>
      <c r="O50">
        <v>4.9238572283999998E-2</v>
      </c>
      <c r="P50" s="36">
        <f t="shared" si="2"/>
        <v>4.2716271265881255E-3</v>
      </c>
      <c r="Q50">
        <v>0.45086719729000002</v>
      </c>
      <c r="R50" s="36">
        <f t="shared" si="3"/>
        <v>6.3837494890896396E-3</v>
      </c>
      <c r="S50" s="33">
        <v>-6.2044885199999998E-3</v>
      </c>
      <c r="T50" s="36">
        <f t="shared" si="4"/>
        <v>3.8495677794811789E-5</v>
      </c>
      <c r="U50" s="34">
        <v>1.41890322E-2</v>
      </c>
      <c r="V50" s="36">
        <f t="shared" si="5"/>
        <v>2.0132863477263685E-4</v>
      </c>
      <c r="W50" s="35">
        <v>3.1179129E-2</v>
      </c>
      <c r="X50" s="36">
        <f t="shared" si="6"/>
        <v>9.72138085198641E-4</v>
      </c>
      <c r="Y50" s="36">
        <v>-3.7788278600000003E-2</v>
      </c>
      <c r="Z50" s="36">
        <f t="shared" si="7"/>
        <v>1.4279539995512181E-3</v>
      </c>
    </row>
    <row r="51" spans="1:26">
      <c r="A51" s="5">
        <v>37</v>
      </c>
      <c r="B51" s="6">
        <v>42520.566666608793</v>
      </c>
      <c r="C51" s="6">
        <v>42520.566666608793</v>
      </c>
      <c r="D51" s="7">
        <v>0</v>
      </c>
      <c r="E51" s="8"/>
      <c r="F51" s="8"/>
      <c r="G51" s="9"/>
      <c r="H51">
        <v>1839.06</v>
      </c>
      <c r="I51">
        <v>455.71199999999999</v>
      </c>
      <c r="J51">
        <v>321.40415999999999</v>
      </c>
      <c r="K51">
        <v>0.18988942854999999</v>
      </c>
      <c r="L51" s="36">
        <f t="shared" si="0"/>
        <v>4.1130164893820381E-3</v>
      </c>
      <c r="M51">
        <v>0.61851943811999999</v>
      </c>
      <c r="N51" s="36">
        <f t="shared" si="1"/>
        <v>5.2494328051077135E-2</v>
      </c>
      <c r="O51">
        <v>5.9397847320000002E-2</v>
      </c>
      <c r="P51" s="36">
        <f t="shared" si="2"/>
        <v>3.046864579127341E-3</v>
      </c>
      <c r="Q51">
        <v>0.13715540700000001</v>
      </c>
      <c r="R51" s="36">
        <f t="shared" si="3"/>
        <v>5.466871562349724E-2</v>
      </c>
      <c r="S51" s="33">
        <v>-1.4989003799999999E-2</v>
      </c>
      <c r="T51" s="36">
        <f t="shared" si="4"/>
        <v>2.2467023491641442E-4</v>
      </c>
      <c r="U51" s="34">
        <v>1.3199287000000001E-2</v>
      </c>
      <c r="V51" s="36">
        <f t="shared" si="5"/>
        <v>1.7422117730836901E-4</v>
      </c>
      <c r="W51" s="35">
        <v>-2.4626034199999999E-3</v>
      </c>
      <c r="X51" s="36">
        <f t="shared" si="6"/>
        <v>6.0644156041956961E-6</v>
      </c>
      <c r="Y51" s="36">
        <v>-7.0980086000000005E-4</v>
      </c>
      <c r="Z51" s="36">
        <f t="shared" si="7"/>
        <v>5.0381726085673971E-7</v>
      </c>
    </row>
    <row r="52" spans="1:26">
      <c r="A52" s="5">
        <v>38</v>
      </c>
      <c r="B52" s="6">
        <v>42520.567361053239</v>
      </c>
      <c r="C52" s="6">
        <v>42520.567361053239</v>
      </c>
      <c r="D52" s="7">
        <v>0</v>
      </c>
      <c r="E52" s="10"/>
      <c r="F52" s="10"/>
      <c r="G52" s="11"/>
      <c r="H52">
        <v>1719.12</v>
      </c>
      <c r="I52">
        <v>378.57599999999996</v>
      </c>
      <c r="J52">
        <v>420.78212000000002</v>
      </c>
      <c r="K52">
        <v>0.17710985754</v>
      </c>
      <c r="L52" s="36">
        <f t="shared" si="0"/>
        <v>2.6371544908653129E-3</v>
      </c>
      <c r="M52">
        <v>0.57625570496</v>
      </c>
      <c r="N52" s="36">
        <f t="shared" si="1"/>
        <v>3.4913921798215376E-2</v>
      </c>
      <c r="O52">
        <v>0.13460623384000001</v>
      </c>
      <c r="P52" s="36">
        <f t="shared" si="2"/>
        <v>4.0039911951260019E-4</v>
      </c>
      <c r="Q52">
        <v>0.13121359454000001</v>
      </c>
      <c r="R52" s="36">
        <f t="shared" si="3"/>
        <v>5.7482571749738233E-2</v>
      </c>
      <c r="S52" s="33">
        <v>-3.5575062499999997E-2</v>
      </c>
      <c r="T52" s="36">
        <f t="shared" si="4"/>
        <v>1.2655850718789061E-3</v>
      </c>
      <c r="U52" s="34">
        <v>1.8308092099999999E-2</v>
      </c>
      <c r="V52" s="36">
        <f t="shared" si="5"/>
        <v>3.3518623634208236E-4</v>
      </c>
      <c r="W52" s="35">
        <v>1.61690273E-2</v>
      </c>
      <c r="X52" s="36">
        <f t="shared" si="6"/>
        <v>2.6143744382814529E-4</v>
      </c>
      <c r="Y52" s="36">
        <v>-1.8087448900000001E-2</v>
      </c>
      <c r="Z52" s="36">
        <f t="shared" si="7"/>
        <v>3.2715580771011123E-4</v>
      </c>
    </row>
    <row r="53" spans="1:26">
      <c r="A53" s="5">
        <v>39</v>
      </c>
      <c r="B53" s="6">
        <v>42520.568055497686</v>
      </c>
      <c r="C53" s="6">
        <v>42520.568055497686</v>
      </c>
      <c r="D53" s="7">
        <v>0</v>
      </c>
      <c r="E53" s="12"/>
      <c r="F53" s="10"/>
      <c r="G53" s="11"/>
      <c r="H53">
        <v>1393.59</v>
      </c>
      <c r="I53">
        <v>545.89499999999998</v>
      </c>
      <c r="J53">
        <v>242.86988000000002</v>
      </c>
      <c r="K53">
        <v>8.5153386419999991E-2</v>
      </c>
      <c r="L53" s="36">
        <f t="shared" si="0"/>
        <v>1.6486229843245426E-3</v>
      </c>
      <c r="M53">
        <v>0.29063354736000002</v>
      </c>
      <c r="N53" s="36">
        <f t="shared" si="1"/>
        <v>9.7554108814844123E-3</v>
      </c>
      <c r="O53">
        <v>0.18725802470000003</v>
      </c>
      <c r="P53" s="36">
        <f t="shared" si="2"/>
        <v>5.279732290562493E-3</v>
      </c>
      <c r="Q53">
        <v>0.42910281176000004</v>
      </c>
      <c r="R53" s="36">
        <f t="shared" si="3"/>
        <v>3.3795601215690987E-3</v>
      </c>
      <c r="S53" s="33">
        <v>1.97487479E-3</v>
      </c>
      <c r="T53" s="36">
        <f t="shared" si="4"/>
        <v>3.9001304361775441E-6</v>
      </c>
      <c r="U53" s="34">
        <v>9.7288489599999996E-3</v>
      </c>
      <c r="V53" s="36">
        <f t="shared" si="5"/>
        <v>9.4650502086493079E-5</v>
      </c>
      <c r="W53" s="35">
        <v>4.3292440600000001E-3</v>
      </c>
      <c r="X53" s="36">
        <f t="shared" si="6"/>
        <v>1.8742354131045283E-5</v>
      </c>
      <c r="Y53" s="36">
        <v>-8.1807378099999998E-3</v>
      </c>
      <c r="Z53" s="36">
        <f t="shared" si="7"/>
        <v>6.6924471115963595E-5</v>
      </c>
    </row>
    <row r="54" spans="1:26">
      <c r="A54" s="5">
        <v>40</v>
      </c>
      <c r="B54" s="6">
        <v>42520.568749942133</v>
      </c>
      <c r="C54" s="6">
        <v>42520.568749942133</v>
      </c>
      <c r="D54" s="7">
        <v>0</v>
      </c>
      <c r="E54" s="8"/>
      <c r="F54" s="8"/>
      <c r="G54" s="9"/>
      <c r="H54">
        <v>1418.82</v>
      </c>
      <c r="I54">
        <v>302.43</v>
      </c>
      <c r="J54">
        <v>363.16368</v>
      </c>
      <c r="K54">
        <v>0.11928611635</v>
      </c>
      <c r="L54" s="36">
        <f t="shared" si="0"/>
        <v>4.1867482371417106E-5</v>
      </c>
      <c r="M54">
        <v>0.38099685789000004</v>
      </c>
      <c r="N54" s="36">
        <f t="shared" si="1"/>
        <v>7.0663744906066217E-5</v>
      </c>
      <c r="O54">
        <v>0.20131294154999999</v>
      </c>
      <c r="P54" s="36">
        <f t="shared" si="2"/>
        <v>7.5197831469521591E-3</v>
      </c>
      <c r="Q54">
        <v>0.28769226683999999</v>
      </c>
      <c r="R54" s="36">
        <f t="shared" si="3"/>
        <v>6.9349855616227174E-3</v>
      </c>
      <c r="S54" s="33">
        <v>-3.6047454E-3</v>
      </c>
      <c r="T54" s="36">
        <f t="shared" si="4"/>
        <v>1.299418939882116E-5</v>
      </c>
      <c r="U54" s="34">
        <v>1.22373276E-2</v>
      </c>
      <c r="V54" s="36">
        <f t="shared" si="5"/>
        <v>1.4975218678972178E-4</v>
      </c>
      <c r="W54" s="35">
        <v>2.15680114E-2</v>
      </c>
      <c r="X54" s="36">
        <f t="shared" si="6"/>
        <v>4.6517911575052996E-4</v>
      </c>
      <c r="Y54" s="36">
        <v>-1.9488776499999999E-2</v>
      </c>
      <c r="Z54" s="36">
        <f t="shared" si="7"/>
        <v>3.7981240946695219E-4</v>
      </c>
    </row>
    <row r="55" spans="1:26">
      <c r="A55" s="5">
        <v>41</v>
      </c>
      <c r="B55" s="6">
        <v>42520.569444386572</v>
      </c>
      <c r="C55" s="6">
        <v>42520.569444386572</v>
      </c>
      <c r="D55" s="7">
        <v>0</v>
      </c>
      <c r="E55" s="8"/>
      <c r="F55" s="8"/>
      <c r="G55" s="9"/>
      <c r="H55">
        <v>1707.91</v>
      </c>
      <c r="I55">
        <v>425.32</v>
      </c>
      <c r="J55">
        <v>164.79936000000001</v>
      </c>
      <c r="K55">
        <v>0.14556950771999999</v>
      </c>
      <c r="L55" s="36">
        <f t="shared" si="0"/>
        <v>3.9255032112012732E-4</v>
      </c>
      <c r="M55">
        <v>0.46487041109999999</v>
      </c>
      <c r="N55" s="36">
        <f t="shared" si="1"/>
        <v>5.6953254721684148E-3</v>
      </c>
      <c r="O55">
        <v>3.9027641119999998E-2</v>
      </c>
      <c r="P55" s="36">
        <f t="shared" si="2"/>
        <v>5.710615908535329E-3</v>
      </c>
      <c r="Q55">
        <v>0.37608669210000001</v>
      </c>
      <c r="R55" s="36">
        <f t="shared" si="3"/>
        <v>2.6192537678967907E-5</v>
      </c>
      <c r="S55" s="33">
        <v>-1.6431114100000001E-2</v>
      </c>
      <c r="T55" s="36">
        <f t="shared" si="4"/>
        <v>2.6998151056721885E-4</v>
      </c>
      <c r="U55" s="34">
        <v>1.42718944E-2</v>
      </c>
      <c r="V55" s="36">
        <f t="shared" si="5"/>
        <v>2.0368696976475137E-4</v>
      </c>
      <c r="W55" s="35">
        <v>2.4416134799999999E-2</v>
      </c>
      <c r="X55" s="36">
        <f t="shared" si="6"/>
        <v>5.9614763857177098E-4</v>
      </c>
      <c r="Y55" s="36">
        <v>-4.7811167100000003E-2</v>
      </c>
      <c r="Z55" s="36">
        <f t="shared" si="7"/>
        <v>2.2859076994641227E-3</v>
      </c>
    </row>
    <row r="56" spans="1:26">
      <c r="A56" s="5">
        <v>42</v>
      </c>
      <c r="B56" s="6">
        <v>42520.570138831019</v>
      </c>
      <c r="C56" s="6">
        <v>42520.570138831019</v>
      </c>
      <c r="D56" s="7">
        <v>0</v>
      </c>
      <c r="E56" s="8"/>
      <c r="F56" s="8"/>
      <c r="G56" s="9"/>
      <c r="H56">
        <v>1822.59</v>
      </c>
      <c r="I56">
        <v>372.50400000000002</v>
      </c>
      <c r="J56">
        <v>63.193680000000001</v>
      </c>
      <c r="K56">
        <v>5.2777173335000004E-2</v>
      </c>
      <c r="L56" s="36">
        <f t="shared" si="0"/>
        <v>5.3260003673733375E-3</v>
      </c>
      <c r="M56">
        <v>0.181961439</v>
      </c>
      <c r="N56" s="36">
        <f t="shared" si="1"/>
        <v>4.3032014055731635E-2</v>
      </c>
      <c r="O56">
        <v>5.2140396377999998E-2</v>
      </c>
      <c r="P56" s="36">
        <f t="shared" si="2"/>
        <v>3.9007346934101573E-3</v>
      </c>
      <c r="Q56">
        <v>0.70927915500000016</v>
      </c>
      <c r="R56" s="36">
        <f t="shared" si="3"/>
        <v>0.11445387766770969</v>
      </c>
      <c r="S56" s="33">
        <v>-5.1642605600000002E-2</v>
      </c>
      <c r="T56" s="36">
        <f t="shared" si="4"/>
        <v>2.6669587131571515E-3</v>
      </c>
      <c r="U56" s="34">
        <v>4.5667965400000003E-2</v>
      </c>
      <c r="V56" s="36">
        <f t="shared" si="5"/>
        <v>2.0855630637755976E-3</v>
      </c>
      <c r="W56" s="35">
        <v>0.12718116800000001</v>
      </c>
      <c r="X56" s="36">
        <f t="shared" si="6"/>
        <v>1.6175049493844226E-2</v>
      </c>
      <c r="Y56" s="36">
        <v>-0.11736469099999999</v>
      </c>
      <c r="Z56" s="36">
        <f t="shared" si="7"/>
        <v>1.3774470693525479E-2</v>
      </c>
    </row>
    <row r="57" spans="1:26">
      <c r="A57" s="5">
        <v>43</v>
      </c>
      <c r="B57" s="6">
        <v>42520.570833275466</v>
      </c>
      <c r="C57" s="6">
        <v>42520.570833275466</v>
      </c>
      <c r="D57" s="7">
        <v>0</v>
      </c>
      <c r="E57" s="8"/>
      <c r="F57" s="8"/>
      <c r="G57" s="9"/>
      <c r="H57">
        <v>1587.23</v>
      </c>
      <c r="I57">
        <v>487.61900000000003</v>
      </c>
      <c r="J57">
        <v>252.75095999999999</v>
      </c>
      <c r="K57">
        <v>0.13604150963</v>
      </c>
      <c r="L57" s="36">
        <f t="shared" si="0"/>
        <v>1.0577885156361009E-4</v>
      </c>
      <c r="M57">
        <v>0.44256283361999998</v>
      </c>
      <c r="N57" s="36">
        <f t="shared" si="1"/>
        <v>2.8259646237620817E-3</v>
      </c>
      <c r="O57">
        <v>0.12652232897999999</v>
      </c>
      <c r="P57" s="36">
        <f t="shared" si="2"/>
        <v>1.4223116091146152E-4</v>
      </c>
      <c r="Q57">
        <v>0.2907350246</v>
      </c>
      <c r="R57" s="36">
        <f t="shared" si="3"/>
        <v>6.4374631338312274E-3</v>
      </c>
      <c r="S57" s="33">
        <v>-2.71297915E-2</v>
      </c>
      <c r="T57" s="36">
        <f t="shared" si="4"/>
        <v>7.3602558683347229E-4</v>
      </c>
      <c r="U57" s="34">
        <v>1.53897176E-2</v>
      </c>
      <c r="V57" s="36">
        <f t="shared" si="5"/>
        <v>2.3684340780774976E-4</v>
      </c>
      <c r="W57" s="35">
        <v>2.0482099399999999E-2</v>
      </c>
      <c r="X57" s="36">
        <f t="shared" si="6"/>
        <v>4.1951639583148032E-4</v>
      </c>
      <c r="Y57" s="36">
        <v>-4.6037234099999998E-3</v>
      </c>
      <c r="Z57" s="36">
        <f t="shared" si="7"/>
        <v>2.1194269235782026E-5</v>
      </c>
    </row>
    <row r="58" spans="1:26">
      <c r="A58" s="5">
        <v>44</v>
      </c>
      <c r="B58" s="6">
        <v>42520.571527719905</v>
      </c>
      <c r="C58" s="6">
        <v>42520.571527719905</v>
      </c>
      <c r="D58" s="7">
        <v>0</v>
      </c>
      <c r="E58" s="10"/>
      <c r="F58" s="10"/>
      <c r="G58" s="11"/>
      <c r="H58">
        <v>1392.7</v>
      </c>
      <c r="I58">
        <v>379.62</v>
      </c>
      <c r="J58">
        <v>221.62140000000002</v>
      </c>
      <c r="K58">
        <v>0.13079809320000002</v>
      </c>
      <c r="L58" s="36">
        <f t="shared" si="0"/>
        <v>2.541640147004672E-5</v>
      </c>
      <c r="M58">
        <v>0.40655085431999999</v>
      </c>
      <c r="N58" s="36">
        <f t="shared" si="1"/>
        <v>2.940478475702119E-4</v>
      </c>
      <c r="O58">
        <v>0.1149866044</v>
      </c>
      <c r="P58" s="36">
        <f t="shared" si="2"/>
        <v>1.523700465965307E-7</v>
      </c>
      <c r="Q58">
        <v>0.38898278684999998</v>
      </c>
      <c r="R58" s="36">
        <f t="shared" si="3"/>
        <v>3.2450273010844338E-4</v>
      </c>
      <c r="S58" s="33">
        <v>4.1261964700000001E-2</v>
      </c>
      <c r="T58" s="36">
        <f t="shared" si="4"/>
        <v>1.7025497309040461E-3</v>
      </c>
      <c r="U58" s="34">
        <v>-2.6078089799999999E-2</v>
      </c>
      <c r="V58" s="36">
        <f t="shared" si="5"/>
        <v>6.8006676761686396E-4</v>
      </c>
      <c r="W58" s="35">
        <v>-8.2006699000000002E-2</v>
      </c>
      <c r="X58" s="36">
        <f t="shared" si="6"/>
        <v>6.7250986808766013E-3</v>
      </c>
      <c r="Y58" s="36">
        <v>2.5504486100000001E-2</v>
      </c>
      <c r="Z58" s="36">
        <f t="shared" si="7"/>
        <v>6.504788112250933E-4</v>
      </c>
    </row>
    <row r="59" spans="1:26">
      <c r="A59" s="5">
        <v>45</v>
      </c>
      <c r="B59" s="6">
        <v>42520.572222164352</v>
      </c>
      <c r="C59" s="6">
        <v>42520.572222164352</v>
      </c>
      <c r="D59" s="7">
        <v>0</v>
      </c>
      <c r="E59" s="12"/>
      <c r="F59" s="10"/>
      <c r="G59" s="11"/>
      <c r="H59">
        <v>1766</v>
      </c>
      <c r="I59">
        <v>526.35800000000006</v>
      </c>
      <c r="J59">
        <v>392.70528000000002</v>
      </c>
      <c r="K59">
        <v>0.1929855379</v>
      </c>
      <c r="L59" s="36">
        <f t="shared" si="0"/>
        <v>4.5197267278279949E-3</v>
      </c>
      <c r="M59">
        <v>0.55637978111999997</v>
      </c>
      <c r="N59" s="36">
        <f t="shared" si="1"/>
        <v>2.788123510942362E-2</v>
      </c>
      <c r="O59">
        <v>0.10664888314999998</v>
      </c>
      <c r="P59" s="36">
        <f t="shared" si="2"/>
        <v>6.3160772409833561E-5</v>
      </c>
      <c r="Q59">
        <v>0.13211134965000002</v>
      </c>
      <c r="R59" s="36">
        <f t="shared" si="3"/>
        <v>5.7052894742830075E-2</v>
      </c>
      <c r="S59" s="33">
        <v>-1.0538809999999999E-2</v>
      </c>
      <c r="T59" s="36">
        <f t="shared" si="4"/>
        <v>1.1106651621609999E-4</v>
      </c>
      <c r="U59" s="34">
        <v>-1.4839763400000001E-3</v>
      </c>
      <c r="V59" s="36">
        <f t="shared" si="5"/>
        <v>2.2021857776797959E-6</v>
      </c>
      <c r="W59" s="35">
        <v>2.45834381E-2</v>
      </c>
      <c r="X59" s="36">
        <f t="shared" si="6"/>
        <v>6.043454288165316E-4</v>
      </c>
      <c r="Y59" s="36">
        <v>-6.8620381000000005E-4</v>
      </c>
      <c r="Z59" s="36">
        <f t="shared" si="7"/>
        <v>4.7087566885851617E-7</v>
      </c>
    </row>
    <row r="60" spans="1:26">
      <c r="A60" s="5">
        <v>46</v>
      </c>
      <c r="B60" s="6">
        <v>42520.572916608799</v>
      </c>
      <c r="C60" s="6">
        <v>42520.572916608799</v>
      </c>
      <c r="D60" s="7">
        <v>0</v>
      </c>
      <c r="E60" s="8"/>
      <c r="F60" s="8"/>
      <c r="G60" s="9"/>
      <c r="H60">
        <v>1583.68</v>
      </c>
      <c r="I60">
        <v>317.66399999999999</v>
      </c>
      <c r="J60">
        <v>297.66528</v>
      </c>
      <c r="K60">
        <v>0.1680686743</v>
      </c>
      <c r="L60" s="36">
        <f t="shared" si="0"/>
        <v>1.7903095147775055E-3</v>
      </c>
      <c r="M60">
        <v>0.51670687199999998</v>
      </c>
      <c r="N60" s="36">
        <f t="shared" si="1"/>
        <v>1.6206267955300398E-2</v>
      </c>
      <c r="O60">
        <v>8.8848640302000015E-2</v>
      </c>
      <c r="P60" s="36">
        <f t="shared" si="2"/>
        <v>6.6293983462816918E-4</v>
      </c>
      <c r="Q60">
        <v>0.19972019871000002</v>
      </c>
      <c r="R60" s="36">
        <f t="shared" si="3"/>
        <v>2.9326092875336517E-2</v>
      </c>
      <c r="S60" s="33">
        <v>2.6881683199999999E-3</v>
      </c>
      <c r="T60" s="36">
        <f t="shared" si="4"/>
        <v>7.226248916651622E-6</v>
      </c>
      <c r="U60" s="34">
        <v>2.6643835400000002E-3</v>
      </c>
      <c r="V60" s="36">
        <f t="shared" si="5"/>
        <v>7.0989396482229329E-6</v>
      </c>
      <c r="W60" s="35">
        <v>3.26218335E-3</v>
      </c>
      <c r="X60" s="36">
        <f t="shared" si="6"/>
        <v>1.0641840209017223E-5</v>
      </c>
      <c r="Y60" s="36">
        <v>1.80408798E-2</v>
      </c>
      <c r="Z60" s="36">
        <f t="shared" si="7"/>
        <v>3.2547334395804803E-4</v>
      </c>
    </row>
    <row r="61" spans="1:26">
      <c r="A61" s="5">
        <v>47</v>
      </c>
      <c r="B61" s="6">
        <v>42520.573611053238</v>
      </c>
      <c r="C61" s="6">
        <v>42520.573611053238</v>
      </c>
      <c r="D61" s="7">
        <v>0</v>
      </c>
      <c r="E61" s="8"/>
      <c r="F61" s="8"/>
      <c r="G61" s="9"/>
      <c r="H61">
        <v>1355.48</v>
      </c>
      <c r="I61">
        <v>444.98</v>
      </c>
      <c r="J61">
        <v>117.67139999999999</v>
      </c>
      <c r="K61">
        <v>7.0268689300000006E-2</v>
      </c>
      <c r="L61" s="36">
        <f t="shared" si="0"/>
        <v>3.0789110098054383E-3</v>
      </c>
      <c r="M61">
        <v>0.21980518686</v>
      </c>
      <c r="N61" s="36">
        <f t="shared" si="1"/>
        <v>2.8763428707697145E-2</v>
      </c>
      <c r="O61">
        <v>9.6388915199999994E-2</v>
      </c>
      <c r="P61" s="36">
        <f t="shared" si="2"/>
        <v>3.315073442158857E-4</v>
      </c>
      <c r="Q61">
        <v>0.60397828799999997</v>
      </c>
      <c r="R61" s="36">
        <f t="shared" si="3"/>
        <v>5.4293408664974098E-2</v>
      </c>
      <c r="S61" s="33">
        <v>1.23550806E-2</v>
      </c>
      <c r="T61" s="36">
        <f t="shared" si="4"/>
        <v>1.5264801663249637E-4</v>
      </c>
      <c r="U61" s="34">
        <v>-5.4836969699999997E-4</v>
      </c>
      <c r="V61" s="36">
        <f t="shared" si="5"/>
        <v>3.0070932458787176E-7</v>
      </c>
      <c r="W61" s="35">
        <v>2.7301835700000001E-3</v>
      </c>
      <c r="X61" s="36">
        <f t="shared" si="6"/>
        <v>7.4539023258979453E-6</v>
      </c>
      <c r="Y61" s="36">
        <v>-4.9779735099999998E-3</v>
      </c>
      <c r="Z61" s="36">
        <f t="shared" si="7"/>
        <v>2.4780220266261719E-5</v>
      </c>
    </row>
    <row r="62" spans="1:26">
      <c r="A62" s="5">
        <v>48</v>
      </c>
      <c r="B62" s="6">
        <v>42520.574305497685</v>
      </c>
      <c r="C62" s="6">
        <v>42520.574305497685</v>
      </c>
      <c r="D62" s="7">
        <v>0</v>
      </c>
      <c r="E62" s="8"/>
      <c r="F62" s="8"/>
      <c r="G62" s="9"/>
      <c r="H62">
        <v>1361.85</v>
      </c>
      <c r="I62">
        <v>353.08</v>
      </c>
      <c r="J62">
        <v>149.20400000000001</v>
      </c>
      <c r="K62">
        <v>8.8010104874999995E-2</v>
      </c>
      <c r="L62" s="36">
        <f t="shared" si="0"/>
        <v>1.424799782606955E-3</v>
      </c>
      <c r="M62">
        <v>0.27425440847999999</v>
      </c>
      <c r="N62" s="36">
        <f t="shared" si="1"/>
        <v>1.3259205248401887E-2</v>
      </c>
      <c r="O62">
        <v>0.12261930516</v>
      </c>
      <c r="P62" s="36">
        <f t="shared" si="2"/>
        <v>6.4369280276713845E-5</v>
      </c>
      <c r="Q62">
        <v>0.5497614782400001</v>
      </c>
      <c r="R62" s="36">
        <f t="shared" si="3"/>
        <v>3.1966811945186892E-2</v>
      </c>
      <c r="S62" s="33">
        <v>-5.4426820900000002E-4</v>
      </c>
      <c r="T62" s="36">
        <f t="shared" si="4"/>
        <v>2.9622788332806772E-7</v>
      </c>
      <c r="U62" s="34">
        <v>-3.2192252900000002E-3</v>
      </c>
      <c r="V62" s="36">
        <f t="shared" si="5"/>
        <v>1.0363411467775585E-5</v>
      </c>
      <c r="W62" s="35">
        <v>-7.6552527300000001E-3</v>
      </c>
      <c r="X62" s="36">
        <f t="shared" si="6"/>
        <v>5.8602894360172454E-5</v>
      </c>
      <c r="Y62" s="36">
        <v>-2.3226549799999999E-2</v>
      </c>
      <c r="Z62" s="36">
        <f t="shared" si="7"/>
        <v>5.3947261561187998E-4</v>
      </c>
    </row>
    <row r="63" spans="1:26">
      <c r="A63" s="5">
        <v>49</v>
      </c>
      <c r="B63" s="6">
        <v>42520.574999942131</v>
      </c>
      <c r="C63" s="6">
        <v>42520.574999942131</v>
      </c>
      <c r="D63" s="7">
        <v>0</v>
      </c>
      <c r="E63" s="8"/>
      <c r="F63" s="8"/>
      <c r="G63" s="9"/>
      <c r="H63">
        <v>1676.85</v>
      </c>
      <c r="I63">
        <v>453.15</v>
      </c>
      <c r="J63">
        <v>357.62011999999999</v>
      </c>
      <c r="K63">
        <v>0.1534145136</v>
      </c>
      <c r="L63" s="36">
        <f t="shared" si="0"/>
        <v>7.6495880103337455E-4</v>
      </c>
      <c r="M63">
        <v>0.46259506909999998</v>
      </c>
      <c r="N63" s="36">
        <f t="shared" si="1"/>
        <v>5.3570744538501205E-3</v>
      </c>
      <c r="O63">
        <v>0.14381504654999999</v>
      </c>
      <c r="P63" s="36">
        <f t="shared" si="2"/>
        <v>8.5373758446375444E-4</v>
      </c>
      <c r="Q63">
        <v>0.22493569904000002</v>
      </c>
      <c r="R63" s="36">
        <f t="shared" si="3"/>
        <v>2.1325674618799455E-2</v>
      </c>
      <c r="S63" s="33">
        <v>-3.9503474400000002E-2</v>
      </c>
      <c r="T63" s="36">
        <f t="shared" si="4"/>
        <v>1.5605244896714555E-3</v>
      </c>
      <c r="U63" s="34">
        <v>2.6148204800000002E-2</v>
      </c>
      <c r="V63" s="36">
        <f t="shared" si="5"/>
        <v>6.8372861426274308E-4</v>
      </c>
      <c r="W63" s="35">
        <v>8.3093092800000004E-2</v>
      </c>
      <c r="X63" s="36">
        <f t="shared" si="6"/>
        <v>6.9044620710694126E-3</v>
      </c>
      <c r="Y63" s="36">
        <v>-5.4498152299999998E-2</v>
      </c>
      <c r="Z63" s="36">
        <f t="shared" si="7"/>
        <v>2.9700486041139952E-3</v>
      </c>
    </row>
    <row r="64" spans="1:26">
      <c r="A64" s="5">
        <v>50</v>
      </c>
      <c r="B64" s="6">
        <v>42520.575694386571</v>
      </c>
      <c r="C64" s="6">
        <v>42520.575694386571</v>
      </c>
      <c r="D64" s="7">
        <v>0</v>
      </c>
      <c r="E64" s="10"/>
      <c r="F64" s="10"/>
      <c r="G64" s="11"/>
      <c r="H64">
        <v>1712.06</v>
      </c>
      <c r="I64">
        <v>408.2</v>
      </c>
      <c r="J64">
        <v>245.72196000000002</v>
      </c>
      <c r="K64">
        <v>0.17812721664</v>
      </c>
      <c r="L64" s="36">
        <f t="shared" si="0"/>
        <v>2.742678867253069E-3</v>
      </c>
      <c r="M64">
        <v>0.57587948154000002</v>
      </c>
      <c r="N64" s="36">
        <f t="shared" si="1"/>
        <v>3.4773466638145525E-2</v>
      </c>
      <c r="O64">
        <v>3.8403477499999998E-2</v>
      </c>
      <c r="P64" s="36">
        <f t="shared" si="2"/>
        <v>5.8053398521246578E-3</v>
      </c>
      <c r="Q64">
        <v>0.20723041878000001</v>
      </c>
      <c r="R64" s="36">
        <f t="shared" si="3"/>
        <v>2.6810266502474159E-2</v>
      </c>
      <c r="S64" s="33">
        <v>7.2349539500000002E-3</v>
      </c>
      <c r="T64" s="36">
        <f t="shared" si="4"/>
        <v>5.2344558658620604E-5</v>
      </c>
      <c r="U64" s="34">
        <v>2.15791692E-3</v>
      </c>
      <c r="V64" s="36">
        <f t="shared" si="5"/>
        <v>4.6566054336222864E-6</v>
      </c>
      <c r="W64" s="35">
        <v>-2.69161162E-2</v>
      </c>
      <c r="X64" s="36">
        <f t="shared" si="6"/>
        <v>7.2447731129190237E-4</v>
      </c>
      <c r="Y64" s="36">
        <v>1.7882649300000001E-2</v>
      </c>
      <c r="Z64" s="36">
        <f t="shared" si="7"/>
        <v>3.1978914598679054E-4</v>
      </c>
    </row>
    <row r="65" spans="1:26">
      <c r="A65" s="5">
        <v>51</v>
      </c>
      <c r="B65" s="6">
        <v>42520.576388831018</v>
      </c>
      <c r="C65" s="6">
        <v>42520.576388831018</v>
      </c>
      <c r="D65" s="7">
        <v>0</v>
      </c>
      <c r="E65" s="12"/>
      <c r="F65" s="10"/>
      <c r="G65" s="11"/>
      <c r="H65">
        <v>1389.12</v>
      </c>
      <c r="I65">
        <v>529.32900000000006</v>
      </c>
      <c r="J65">
        <v>48.697879999999991</v>
      </c>
      <c r="K65">
        <v>2.7174651674999998E-2</v>
      </c>
      <c r="L65" s="36">
        <f t="shared" si="0"/>
        <v>9.7184054674192E-3</v>
      </c>
      <c r="M65">
        <v>0.10653855368000001</v>
      </c>
      <c r="N65" s="36">
        <f t="shared" si="1"/>
        <v>8.0012312480751108E-2</v>
      </c>
      <c r="O65">
        <v>6.8235160870000006E-2</v>
      </c>
      <c r="P65" s="36">
        <f t="shared" si="2"/>
        <v>2.1493513586182066E-3</v>
      </c>
      <c r="Q65">
        <v>0.78665232883999991</v>
      </c>
      <c r="R65" s="36">
        <f t="shared" si="3"/>
        <v>0.17279277325501402</v>
      </c>
      <c r="S65" s="33">
        <v>-2.5815363800000001E-2</v>
      </c>
      <c r="T65" s="36">
        <f t="shared" si="4"/>
        <v>6.6643300812635052E-4</v>
      </c>
      <c r="U65" s="34">
        <v>1.90697643E-2</v>
      </c>
      <c r="V65" s="36">
        <f t="shared" si="5"/>
        <v>3.6365591045755451E-4</v>
      </c>
      <c r="W65" s="35">
        <v>4.8250517399999998E-2</v>
      </c>
      <c r="X65" s="36">
        <f t="shared" si="6"/>
        <v>2.3281124293677027E-3</v>
      </c>
      <c r="Y65" s="36">
        <v>-3.0105613999999999E-2</v>
      </c>
      <c r="Z65" s="36">
        <f t="shared" si="7"/>
        <v>9.0634799431699598E-4</v>
      </c>
    </row>
    <row r="66" spans="1:26">
      <c r="A66" s="5">
        <v>52</v>
      </c>
      <c r="B66" s="6">
        <v>42520.577083275464</v>
      </c>
      <c r="C66" s="6">
        <v>42520.577083275464</v>
      </c>
      <c r="D66" s="7">
        <v>0</v>
      </c>
      <c r="E66" s="8"/>
      <c r="F66" s="8"/>
      <c r="G66" s="9"/>
      <c r="H66">
        <v>1461.12</v>
      </c>
      <c r="I66">
        <v>373.8</v>
      </c>
      <c r="J66">
        <v>412.57216</v>
      </c>
      <c r="K66">
        <v>0.14642459616</v>
      </c>
      <c r="L66" s="36">
        <f t="shared" si="0"/>
        <v>4.2716503129023404E-4</v>
      </c>
      <c r="M66">
        <v>0.48805037820000002</v>
      </c>
      <c r="N66" s="36">
        <f t="shared" si="1"/>
        <v>9.731299126604108E-3</v>
      </c>
      <c r="O66">
        <v>0.17874518338999998</v>
      </c>
      <c r="P66" s="36">
        <f t="shared" si="2"/>
        <v>4.115084585076925E-3</v>
      </c>
      <c r="Q66">
        <v>0.20703422717999997</v>
      </c>
      <c r="R66" s="36">
        <f t="shared" si="3"/>
        <v>2.68745531944093E-2</v>
      </c>
      <c r="S66" s="33">
        <v>3.3490457299999998E-2</v>
      </c>
      <c r="T66" s="36">
        <f t="shared" si="4"/>
        <v>1.1216107301631232E-3</v>
      </c>
      <c r="U66" s="34">
        <v>-1.03868734E-2</v>
      </c>
      <c r="V66" s="36">
        <f t="shared" si="5"/>
        <v>1.0788713902762755E-4</v>
      </c>
      <c r="W66" s="35">
        <v>-7.2493069100000002E-2</v>
      </c>
      <c r="X66" s="36">
        <f t="shared" si="6"/>
        <v>5.2552450675373754E-3</v>
      </c>
      <c r="Y66" s="36">
        <v>2.9135101100000001E-2</v>
      </c>
      <c r="Z66" s="36">
        <f t="shared" si="7"/>
        <v>8.4885411610722129E-4</v>
      </c>
    </row>
    <row r="67" spans="1:26">
      <c r="A67" s="5">
        <v>53</v>
      </c>
      <c r="B67" s="6">
        <v>42520.577777719911</v>
      </c>
      <c r="C67" s="6">
        <v>42520.577777719911</v>
      </c>
      <c r="D67" s="7">
        <v>0</v>
      </c>
      <c r="E67" s="8"/>
      <c r="F67" s="8"/>
      <c r="G67" s="9"/>
      <c r="H67">
        <v>1876.66</v>
      </c>
      <c r="I67">
        <v>495.96100000000001</v>
      </c>
      <c r="J67">
        <v>190.75583999999998</v>
      </c>
      <c r="K67">
        <v>0.16876112544000002</v>
      </c>
      <c r="L67" s="36">
        <f t="shared" si="0"/>
        <v>1.849387056886393E-3</v>
      </c>
      <c r="M67">
        <v>0.5576385224799999</v>
      </c>
      <c r="N67" s="36">
        <f t="shared" si="1"/>
        <v>2.8303180622520838E-2</v>
      </c>
      <c r="O67">
        <v>2.4350044530000003E-2</v>
      </c>
      <c r="P67" s="36">
        <f t="shared" si="2"/>
        <v>8.1443791070312157E-3</v>
      </c>
      <c r="Q67">
        <v>0.27541878624000005</v>
      </c>
      <c r="R67" s="36">
        <f t="shared" si="3"/>
        <v>9.1298103919749598E-3</v>
      </c>
      <c r="S67" s="33">
        <v>-1.23235171E-2</v>
      </c>
      <c r="T67" s="36">
        <f t="shared" si="4"/>
        <v>1.5186907371399241E-4</v>
      </c>
      <c r="U67" s="34">
        <v>1.0349418799999999E-2</v>
      </c>
      <c r="V67" s="36">
        <f t="shared" si="5"/>
        <v>1.0711046949779342E-4</v>
      </c>
      <c r="W67" s="35">
        <v>-1.1470776199999999E-2</v>
      </c>
      <c r="X67" s="36">
        <f t="shared" si="6"/>
        <v>1.3157870663048642E-4</v>
      </c>
      <c r="Y67" s="36">
        <v>-1.27236035E-2</v>
      </c>
      <c r="Z67" s="36">
        <f t="shared" si="7"/>
        <v>1.6189008602521225E-4</v>
      </c>
    </row>
    <row r="68" spans="1:26">
      <c r="A68" s="5">
        <v>54</v>
      </c>
      <c r="B68" s="6">
        <v>42520.57847216435</v>
      </c>
      <c r="C68" s="6">
        <v>42520.57847216435</v>
      </c>
      <c r="D68" s="7">
        <v>0</v>
      </c>
      <c r="E68" s="8"/>
      <c r="F68" s="8"/>
      <c r="G68" s="9"/>
      <c r="H68">
        <v>1588.4</v>
      </c>
      <c r="I68">
        <v>295.947</v>
      </c>
      <c r="J68">
        <v>96.712879999999998</v>
      </c>
      <c r="K68">
        <v>9.3812074623000008E-2</v>
      </c>
      <c r="L68" s="36">
        <f t="shared" si="0"/>
        <v>1.0204542996856952E-3</v>
      </c>
      <c r="M68">
        <v>0.27204218240000005</v>
      </c>
      <c r="N68" s="36">
        <f t="shared" si="1"/>
        <v>1.3773568763879156E-2</v>
      </c>
      <c r="O68">
        <v>5.5279514591999999E-2</v>
      </c>
      <c r="P68" s="36">
        <f t="shared" si="2"/>
        <v>3.5184760888599693E-3</v>
      </c>
      <c r="Q68">
        <v>0.59322616080000001</v>
      </c>
      <c r="R68" s="36">
        <f t="shared" si="3"/>
        <v>4.9398322188909119E-2</v>
      </c>
      <c r="S68" s="33">
        <v>-4.1066740900000002E-2</v>
      </c>
      <c r="T68" s="36">
        <f t="shared" si="4"/>
        <v>1.686477208147733E-3</v>
      </c>
      <c r="U68" s="34">
        <v>2.6404753199999999E-2</v>
      </c>
      <c r="V68" s="36">
        <f t="shared" si="5"/>
        <v>6.9721099155291017E-4</v>
      </c>
      <c r="W68" s="35">
        <v>0.100865886</v>
      </c>
      <c r="X68" s="36">
        <f t="shared" si="6"/>
        <v>1.0173926958564996E-2</v>
      </c>
      <c r="Y68" s="36">
        <v>-0.10056383100000001</v>
      </c>
      <c r="Z68" s="36">
        <f t="shared" si="7"/>
        <v>1.0113084105396563E-2</v>
      </c>
    </row>
    <row r="69" spans="1:26">
      <c r="A69" s="5">
        <v>55</v>
      </c>
      <c r="B69" s="6">
        <v>42520.579166608797</v>
      </c>
      <c r="C69" s="6">
        <v>42520.579166608797</v>
      </c>
      <c r="D69" s="7">
        <v>0</v>
      </c>
      <c r="E69" s="8"/>
      <c r="F69" s="8"/>
      <c r="G69" s="9"/>
      <c r="H69">
        <v>1317.12</v>
      </c>
      <c r="I69">
        <v>424.89600000000007</v>
      </c>
      <c r="J69">
        <v>303.65807999999998</v>
      </c>
      <c r="K69">
        <v>0.10269967900000002</v>
      </c>
      <c r="L69" s="36">
        <f t="shared" si="0"/>
        <v>5.3162275949435569E-4</v>
      </c>
      <c r="M69">
        <v>0.30794203260999997</v>
      </c>
      <c r="N69" s="36">
        <f t="shared" si="1"/>
        <v>6.6358942446517501E-3</v>
      </c>
      <c r="O69">
        <v>0.21846884993999999</v>
      </c>
      <c r="P69" s="36">
        <f t="shared" si="2"/>
        <v>1.0789515285710769E-2</v>
      </c>
      <c r="Q69">
        <v>0.36930565362000001</v>
      </c>
      <c r="R69" s="36">
        <f t="shared" si="3"/>
        <v>2.7661474802180296E-6</v>
      </c>
      <c r="S69" s="33">
        <v>3.3372151400000001E-2</v>
      </c>
      <c r="T69" s="36">
        <f t="shared" si="4"/>
        <v>1.113700489064522E-3</v>
      </c>
      <c r="U69" s="34">
        <v>-1.8978543399999999E-2</v>
      </c>
      <c r="V69" s="36">
        <f t="shared" si="5"/>
        <v>3.6018510958568353E-4</v>
      </c>
      <c r="W69" s="35">
        <v>-4.7033614699999997E-2</v>
      </c>
      <c r="X69" s="36">
        <f t="shared" si="6"/>
        <v>2.2121609117480559E-3</v>
      </c>
      <c r="Y69" s="36">
        <v>3.4223790699999999E-2</v>
      </c>
      <c r="Z69" s="36">
        <f t="shared" si="7"/>
        <v>1.1712678498774064E-3</v>
      </c>
    </row>
    <row r="70" spans="1:26">
      <c r="A70" s="5">
        <v>56</v>
      </c>
      <c r="B70" s="6">
        <v>42520.579861053244</v>
      </c>
      <c r="C70" s="6">
        <v>42520.579861053244</v>
      </c>
      <c r="D70" s="7">
        <v>0</v>
      </c>
      <c r="E70" s="10"/>
      <c r="F70" s="10"/>
      <c r="G70" s="11"/>
      <c r="H70">
        <v>1267.3</v>
      </c>
      <c r="I70">
        <v>379.27</v>
      </c>
      <c r="J70">
        <v>72.684039999999996</v>
      </c>
      <c r="K70">
        <v>5.2153488089999998E-2</v>
      </c>
      <c r="L70" s="36">
        <f t="shared" si="0"/>
        <v>5.4174217650589844E-3</v>
      </c>
      <c r="M70">
        <v>0.18172669200000002</v>
      </c>
      <c r="N70" s="36">
        <f t="shared" si="1"/>
        <v>4.3129461744639608E-2</v>
      </c>
      <c r="O70">
        <v>7.9084541445000003E-2</v>
      </c>
      <c r="P70" s="36">
        <f t="shared" si="2"/>
        <v>1.2610820368270793E-3</v>
      </c>
      <c r="Q70">
        <v>0.6709709356800001</v>
      </c>
      <c r="R70" s="36">
        <f t="shared" si="3"/>
        <v>9.0001264889878349E-2</v>
      </c>
      <c r="S70" s="33">
        <v>1.1667230000000001E-2</v>
      </c>
      <c r="T70" s="36">
        <f t="shared" si="4"/>
        <v>1.3612425587290002E-4</v>
      </c>
      <c r="U70" s="34">
        <v>-1.43082594E-2</v>
      </c>
      <c r="V70" s="36">
        <f t="shared" si="5"/>
        <v>2.0472628705768837E-4</v>
      </c>
      <c r="W70" s="35">
        <v>-5.2588799399999997E-2</v>
      </c>
      <c r="X70" s="36">
        <f t="shared" si="6"/>
        <v>2.7655818223334401E-3</v>
      </c>
      <c r="Y70" s="36">
        <v>7.1294171700000006E-2</v>
      </c>
      <c r="Z70" s="36">
        <f t="shared" si="7"/>
        <v>5.0828589183890818E-3</v>
      </c>
    </row>
    <row r="71" spans="1:26">
      <c r="A71" s="5">
        <v>57</v>
      </c>
      <c r="B71" s="6">
        <v>42520.580555497683</v>
      </c>
      <c r="C71" s="6">
        <v>42520.580555497683</v>
      </c>
      <c r="D71" s="7">
        <v>0</v>
      </c>
      <c r="E71" s="12"/>
      <c r="F71" s="10"/>
      <c r="G71" s="11"/>
      <c r="H71">
        <v>1715.7</v>
      </c>
      <c r="I71">
        <v>507.36</v>
      </c>
      <c r="J71">
        <v>267.47335999999996</v>
      </c>
      <c r="K71">
        <v>0.16829283450000002</v>
      </c>
      <c r="L71" s="36">
        <f t="shared" si="0"/>
        <v>1.8093291174334724E-3</v>
      </c>
      <c r="M71">
        <v>0.51357708570000005</v>
      </c>
      <c r="N71" s="36">
        <f t="shared" si="1"/>
        <v>1.5419195882046152E-2</v>
      </c>
      <c r="O71">
        <v>9.4727486489999999E-2</v>
      </c>
      <c r="P71" s="36">
        <f t="shared" si="2"/>
        <v>3.9476809482536689E-4</v>
      </c>
      <c r="Q71">
        <v>0.25139998223999999</v>
      </c>
      <c r="R71" s="36">
        <f t="shared" si="3"/>
        <v>1.4296708765803787E-2</v>
      </c>
      <c r="S71" s="33">
        <v>-3.05177916E-2</v>
      </c>
      <c r="T71" s="36">
        <f t="shared" si="4"/>
        <v>9.3133560414103054E-4</v>
      </c>
      <c r="U71" s="34">
        <v>8.5380560099999996E-3</v>
      </c>
      <c r="V71" s="36">
        <f t="shared" si="5"/>
        <v>7.2898400429897118E-5</v>
      </c>
      <c r="W71" s="35">
        <v>2.4862599400000001E-2</v>
      </c>
      <c r="X71" s="36">
        <f t="shared" si="6"/>
        <v>6.1814884892488038E-4</v>
      </c>
      <c r="Y71" s="36">
        <v>-3.0880252800000001E-2</v>
      </c>
      <c r="Z71" s="36">
        <f t="shared" si="7"/>
        <v>9.5359001299190793E-4</v>
      </c>
    </row>
    <row r="72" spans="1:26">
      <c r="A72" s="5">
        <v>58</v>
      </c>
      <c r="B72" s="6">
        <v>42520.58124994213</v>
      </c>
      <c r="C72" s="6">
        <v>42520.58124994213</v>
      </c>
      <c r="D72" s="7">
        <v>0</v>
      </c>
      <c r="E72" s="8"/>
      <c r="F72" s="8"/>
      <c r="G72" s="9"/>
      <c r="H72">
        <v>1730.48</v>
      </c>
      <c r="I72">
        <v>309.40800000000002</v>
      </c>
      <c r="J72">
        <v>371.93200000000002</v>
      </c>
      <c r="K72">
        <v>0.21738342287999998</v>
      </c>
      <c r="L72" s="36">
        <f t="shared" si="0"/>
        <v>8.3954700871694838E-3</v>
      </c>
      <c r="M72">
        <v>0.64597351434000005</v>
      </c>
      <c r="N72" s="36">
        <f t="shared" si="1"/>
        <v>6.5828412965553876E-2</v>
      </c>
      <c r="O72">
        <v>5.3061549547999999E-2</v>
      </c>
      <c r="P72" s="36">
        <f t="shared" si="2"/>
        <v>3.7865203861100929E-3</v>
      </c>
      <c r="Q72">
        <v>0.10502683164</v>
      </c>
      <c r="R72" s="36">
        <f t="shared" si="3"/>
        <v>7.0725145182004401E-2</v>
      </c>
      <c r="S72" s="33">
        <v>1.3369380700000001E-2</v>
      </c>
      <c r="T72" s="36">
        <f t="shared" si="4"/>
        <v>1.7874034030153252E-4</v>
      </c>
      <c r="U72" s="34">
        <v>-1.4675371E-2</v>
      </c>
      <c r="V72" s="36">
        <f t="shared" si="5"/>
        <v>2.1536651398764098E-4</v>
      </c>
      <c r="W72" s="35">
        <v>-3.1468085299999997E-2</v>
      </c>
      <c r="X72" s="36">
        <f t="shared" si="6"/>
        <v>9.9024039244807586E-4</v>
      </c>
      <c r="Y72" s="36">
        <v>1.13287565E-2</v>
      </c>
      <c r="Z72" s="36">
        <f t="shared" si="7"/>
        <v>1.2834072383629226E-4</v>
      </c>
    </row>
    <row r="73" spans="1:26">
      <c r="A73" s="5">
        <v>59</v>
      </c>
      <c r="B73" s="6">
        <v>42520.581944386577</v>
      </c>
      <c r="C73" s="6">
        <v>42520.581944386577</v>
      </c>
      <c r="D73" s="7">
        <v>0</v>
      </c>
      <c r="E73" s="8"/>
      <c r="F73" s="8"/>
      <c r="G73" s="9"/>
      <c r="H73">
        <v>1498.84</v>
      </c>
      <c r="I73">
        <v>464.39800000000002</v>
      </c>
      <c r="J73">
        <v>172.19267999999997</v>
      </c>
      <c r="K73">
        <v>0.12280207411999999</v>
      </c>
      <c r="L73" s="36">
        <f t="shared" si="0"/>
        <v>8.7293709854727807E-6</v>
      </c>
      <c r="M73">
        <v>0.37545357799999995</v>
      </c>
      <c r="N73" s="36">
        <f t="shared" si="1"/>
        <v>1.9458723659433131E-4</v>
      </c>
      <c r="O73">
        <v>9.2493297951999995E-2</v>
      </c>
      <c r="P73" s="36">
        <f t="shared" si="2"/>
        <v>4.8854085791128854E-4</v>
      </c>
      <c r="Q73">
        <v>0.40489767416</v>
      </c>
      <c r="R73" s="36">
        <f t="shared" si="3"/>
        <v>1.1511666331256681E-3</v>
      </c>
      <c r="S73" s="33">
        <v>-3.5688094000000002E-3</v>
      </c>
      <c r="T73" s="36">
        <f t="shared" si="4"/>
        <v>1.2736400533528361E-5</v>
      </c>
      <c r="U73" s="34">
        <v>-1.8408615799999999E-3</v>
      </c>
      <c r="V73" s="36">
        <f t="shared" si="5"/>
        <v>3.3887713567200961E-6</v>
      </c>
      <c r="W73" s="35">
        <v>-1.82108046E-3</v>
      </c>
      <c r="X73" s="36">
        <f t="shared" si="6"/>
        <v>3.3163340417938114E-6</v>
      </c>
      <c r="Y73" s="36">
        <v>1.15841274E-2</v>
      </c>
      <c r="Z73" s="36">
        <f t="shared" si="7"/>
        <v>1.3419200761943077E-4</v>
      </c>
    </row>
    <row r="74" spans="1:26">
      <c r="A74" s="5">
        <v>60</v>
      </c>
      <c r="B74" s="6">
        <v>42520.582638831016</v>
      </c>
      <c r="C74" s="6">
        <v>42520.582638831016</v>
      </c>
      <c r="D74" s="7">
        <v>0</v>
      </c>
      <c r="E74" s="8"/>
      <c r="F74" s="8"/>
      <c r="G74" s="9"/>
      <c r="H74">
        <v>1451.27</v>
      </c>
      <c r="I74">
        <v>285.02099999999996</v>
      </c>
      <c r="J74">
        <v>312.75903999999997</v>
      </c>
      <c r="K74">
        <v>0.12858594602000001</v>
      </c>
      <c r="L74" s="36">
        <f t="shared" si="0"/>
        <v>8.0050573547663835E-6</v>
      </c>
      <c r="M74">
        <v>0.41410785689000001</v>
      </c>
      <c r="N74" s="36">
        <f t="shared" si="1"/>
        <v>6.1032842651431512E-4</v>
      </c>
      <c r="O74">
        <v>0.17538117597</v>
      </c>
      <c r="P74" s="36">
        <f t="shared" si="2"/>
        <v>3.6948062112919589E-3</v>
      </c>
      <c r="Q74">
        <v>0.29827840657999999</v>
      </c>
      <c r="R74" s="36">
        <f t="shared" si="3"/>
        <v>5.2838972989945427E-3</v>
      </c>
      <c r="S74" s="33">
        <v>-2.3357788599999998E-2</v>
      </c>
      <c r="T74" s="36">
        <f t="shared" si="4"/>
        <v>5.4558628828228989E-4</v>
      </c>
      <c r="U74" s="34">
        <v>1.3228203399999999E-2</v>
      </c>
      <c r="V74" s="36">
        <f t="shared" si="5"/>
        <v>1.7498536519177155E-4</v>
      </c>
      <c r="W74" s="35">
        <v>1.96195747E-2</v>
      </c>
      <c r="X74" s="36">
        <f t="shared" si="6"/>
        <v>3.8492771140888007E-4</v>
      </c>
      <c r="Y74" s="36">
        <v>-2.58433754E-2</v>
      </c>
      <c r="Z74" s="36">
        <f t="shared" si="7"/>
        <v>6.6788005206532518E-4</v>
      </c>
    </row>
    <row r="75" spans="1:26">
      <c r="A75" s="5">
        <v>61</v>
      </c>
      <c r="B75" s="6">
        <v>42520.583333275463</v>
      </c>
      <c r="C75" s="6">
        <v>42520.583333275463</v>
      </c>
      <c r="D75" s="7">
        <v>0</v>
      </c>
      <c r="E75" s="8"/>
      <c r="F75" s="8"/>
      <c r="G75" s="9"/>
      <c r="H75">
        <v>1777.36</v>
      </c>
      <c r="I75">
        <v>412.63799999999998</v>
      </c>
      <c r="J75">
        <v>128.16496000000001</v>
      </c>
      <c r="K75">
        <v>0.11190156432000001</v>
      </c>
      <c r="L75" s="36">
        <f t="shared" si="0"/>
        <v>1.9196270683553279E-4</v>
      </c>
      <c r="M75">
        <v>0.34451649541000001</v>
      </c>
      <c r="N75" s="36">
        <f t="shared" si="1"/>
        <v>2.0148010695339186E-3</v>
      </c>
      <c r="O75">
        <v>5.97349275E-2</v>
      </c>
      <c r="P75" s="36">
        <f t="shared" si="2"/>
        <v>3.0097656215304527E-3</v>
      </c>
      <c r="Q75">
        <v>0.46497960425000001</v>
      </c>
      <c r="R75" s="36">
        <f t="shared" si="3"/>
        <v>8.8380261380668606E-3</v>
      </c>
      <c r="S75" s="33">
        <v>-5.2835290899999998E-2</v>
      </c>
      <c r="T75" s="36">
        <f t="shared" si="4"/>
        <v>2.7915679644876226E-3</v>
      </c>
      <c r="U75" s="34">
        <v>3.6949987199999999E-2</v>
      </c>
      <c r="V75" s="36">
        <f t="shared" si="5"/>
        <v>1.3653015540801639E-3</v>
      </c>
      <c r="W75" s="35">
        <v>0.11275474100000001</v>
      </c>
      <c r="X75" s="36">
        <f t="shared" si="6"/>
        <v>1.2713631617977082E-2</v>
      </c>
      <c r="Y75" s="36">
        <v>-7.8002028299999998E-2</v>
      </c>
      <c r="Z75" s="36">
        <f t="shared" si="7"/>
        <v>6.0843164189140009E-3</v>
      </c>
    </row>
    <row r="76" spans="1:26">
      <c r="A76" s="5">
        <v>62</v>
      </c>
      <c r="B76" s="6">
        <v>42520.584027719909</v>
      </c>
      <c r="C76" s="6">
        <v>42520.584027719909</v>
      </c>
      <c r="D76" s="7">
        <v>0</v>
      </c>
      <c r="E76" s="10"/>
      <c r="F76" s="10"/>
      <c r="G76" s="11"/>
      <c r="H76">
        <v>1559</v>
      </c>
      <c r="I76">
        <v>356.6</v>
      </c>
      <c r="J76">
        <v>212.2604</v>
      </c>
      <c r="K76">
        <v>0.15739757495999998</v>
      </c>
      <c r="L76" s="36">
        <f t="shared" si="0"/>
        <v>1.0011497134827429E-3</v>
      </c>
      <c r="M76">
        <v>0.47670451468000002</v>
      </c>
      <c r="N76" s="36">
        <f t="shared" si="1"/>
        <v>7.6215490677800446E-3</v>
      </c>
      <c r="O76">
        <v>7.2464679840000004E-2</v>
      </c>
      <c r="P76" s="36">
        <f t="shared" si="2"/>
        <v>1.7750699068974514E-3</v>
      </c>
      <c r="Q76">
        <v>0.30716654026000001</v>
      </c>
      <c r="R76" s="36">
        <f t="shared" si="3"/>
        <v>4.0707318618546685E-3</v>
      </c>
      <c r="S76" s="33">
        <v>-9.9506642899999998E-4</v>
      </c>
      <c r="T76" s="36">
        <f t="shared" si="4"/>
        <v>9.9015719812281196E-7</v>
      </c>
      <c r="U76" s="34">
        <v>-5.5857060200000001E-3</v>
      </c>
      <c r="V76" s="36">
        <f t="shared" si="5"/>
        <v>3.1200111741864242E-5</v>
      </c>
      <c r="W76" s="35">
        <v>-1.19925398E-2</v>
      </c>
      <c r="X76" s="36">
        <f t="shared" si="6"/>
        <v>1.4382101085458405E-4</v>
      </c>
      <c r="Y76" s="36">
        <v>4.8400022800000001E-3</v>
      </c>
      <c r="Z76" s="36">
        <f t="shared" si="7"/>
        <v>2.3425622070405201E-5</v>
      </c>
    </row>
    <row r="77" spans="1:26">
      <c r="A77" s="5">
        <v>63</v>
      </c>
      <c r="B77" s="6">
        <v>42520.584722164349</v>
      </c>
      <c r="C77" s="6">
        <v>42520.584722164349</v>
      </c>
      <c r="D77" s="7">
        <v>0</v>
      </c>
      <c r="E77" s="12"/>
      <c r="F77" s="10"/>
      <c r="G77" s="11"/>
      <c r="H77">
        <v>1221.23</v>
      </c>
      <c r="I77">
        <v>518.80499999999995</v>
      </c>
      <c r="J77">
        <v>404.57472000000001</v>
      </c>
      <c r="K77">
        <v>6.7905418943999998E-2</v>
      </c>
      <c r="L77" s="36">
        <f t="shared" si="0"/>
        <v>3.3467620437582367E-3</v>
      </c>
      <c r="M77">
        <v>0.22530382607999999</v>
      </c>
      <c r="N77" s="36">
        <f t="shared" si="1"/>
        <v>2.6928549027085531E-2</v>
      </c>
      <c r="O77">
        <v>0.34158007619999997</v>
      </c>
      <c r="P77" s="36">
        <f t="shared" si="2"/>
        <v>5.152165357032433E-2</v>
      </c>
      <c r="Q77">
        <v>0.35608172991999998</v>
      </c>
      <c r="R77" s="36">
        <f t="shared" si="3"/>
        <v>2.216256754762487E-4</v>
      </c>
      <c r="S77" s="33">
        <v>2.64691822E-2</v>
      </c>
      <c r="T77" s="36">
        <f t="shared" si="4"/>
        <v>7.006176063367968E-4</v>
      </c>
      <c r="U77" s="34">
        <v>-1.3715163400000001E-2</v>
      </c>
      <c r="V77" s="36">
        <f t="shared" si="5"/>
        <v>1.8810570708869959E-4</v>
      </c>
      <c r="W77" s="35">
        <v>-5.3529530300000003E-2</v>
      </c>
      <c r="X77" s="36">
        <f t="shared" si="6"/>
        <v>2.8654106141386185E-3</v>
      </c>
      <c r="Y77" s="36">
        <v>4.9904460499999997E-2</v>
      </c>
      <c r="Z77" s="36">
        <f t="shared" si="7"/>
        <v>2.4904551777960599E-3</v>
      </c>
    </row>
    <row r="78" spans="1:26">
      <c r="A78" s="5">
        <v>64</v>
      </c>
      <c r="B78" s="6">
        <v>42520.585416608796</v>
      </c>
      <c r="C78" s="6">
        <v>42520.585416608796</v>
      </c>
      <c r="D78" s="7">
        <v>0</v>
      </c>
      <c r="E78" s="8"/>
      <c r="F78" s="8"/>
      <c r="G78" s="9"/>
      <c r="H78">
        <v>1289.28</v>
      </c>
      <c r="I78">
        <v>384.6</v>
      </c>
      <c r="J78">
        <v>209.33440000000002</v>
      </c>
      <c r="K78">
        <v>7.2567810739999988E-2</v>
      </c>
      <c r="L78" s="36">
        <f t="shared" si="0"/>
        <v>2.8290499638783258E-3</v>
      </c>
      <c r="M78">
        <v>0.23790031649999999</v>
      </c>
      <c r="N78" s="36">
        <f t="shared" si="1"/>
        <v>2.2953072474749519E-2</v>
      </c>
      <c r="O78">
        <v>0.20260455299999999</v>
      </c>
      <c r="P78" s="36">
        <f t="shared" si="2"/>
        <v>7.7454599289701782E-3</v>
      </c>
      <c r="Q78">
        <v>0.48551197728000001</v>
      </c>
      <c r="R78" s="36">
        <f t="shared" si="3"/>
        <v>1.312013315290759E-2</v>
      </c>
      <c r="S78" s="33">
        <v>6.4418513600000003E-4</v>
      </c>
      <c r="T78" s="36">
        <f t="shared" si="4"/>
        <v>4.1497448944333852E-7</v>
      </c>
      <c r="U78" s="34">
        <v>-2.6276469300000002E-3</v>
      </c>
      <c r="V78" s="36">
        <f t="shared" si="5"/>
        <v>6.9045283887384262E-6</v>
      </c>
      <c r="W78" s="35">
        <v>-1.6571378300000002E-2</v>
      </c>
      <c r="X78" s="36">
        <f t="shared" si="6"/>
        <v>2.7461057876171092E-4</v>
      </c>
      <c r="Y78" s="36">
        <v>1.9970182100000001E-2</v>
      </c>
      <c r="Z78" s="36">
        <f t="shared" si="7"/>
        <v>3.9880817310716045E-4</v>
      </c>
    </row>
    <row r="79" spans="1:26">
      <c r="A79" s="5">
        <v>65</v>
      </c>
      <c r="B79" s="6">
        <v>42520.586111053242</v>
      </c>
      <c r="C79" s="6">
        <v>42520.586111053242</v>
      </c>
      <c r="D79" s="7">
        <v>0</v>
      </c>
      <c r="E79" s="8"/>
      <c r="F79" s="8"/>
      <c r="G79" s="9"/>
      <c r="H79">
        <v>1595.28</v>
      </c>
      <c r="I79">
        <v>537.76300000000003</v>
      </c>
      <c r="J79">
        <v>418.35199999999998</v>
      </c>
      <c r="K79">
        <v>0.14608695262000002</v>
      </c>
      <c r="L79" s="36">
        <f t="shared" si="0"/>
        <v>4.1332222056565871E-4</v>
      </c>
      <c r="M79">
        <v>0.45432758100000004</v>
      </c>
      <c r="N79" s="36">
        <f t="shared" si="1"/>
        <v>4.215197203895466E-3</v>
      </c>
      <c r="O79">
        <v>0.18575039854</v>
      </c>
      <c r="P79" s="36">
        <f t="shared" si="2"/>
        <v>5.0629116676083668E-3</v>
      </c>
      <c r="Q79">
        <v>0.21534539312000001</v>
      </c>
      <c r="R79" s="36">
        <f t="shared" si="3"/>
        <v>2.4218653339932145E-2</v>
      </c>
      <c r="S79" s="33">
        <v>-9.1724882000000004E-3</v>
      </c>
      <c r="T79" s="36">
        <f t="shared" si="4"/>
        <v>8.4134539779139251E-5</v>
      </c>
      <c r="U79" s="34">
        <v>9.3950678099999994E-3</v>
      </c>
      <c r="V79" s="36">
        <f t="shared" si="5"/>
        <v>8.8267299154498184E-5</v>
      </c>
      <c r="W79" s="35">
        <v>1.9118011300000001E-2</v>
      </c>
      <c r="X79" s="36">
        <f t="shared" si="6"/>
        <v>3.6549835606692775E-4</v>
      </c>
      <c r="Y79" s="36">
        <v>-2.0850916899999999E-2</v>
      </c>
      <c r="Z79" s="36">
        <f t="shared" si="7"/>
        <v>4.3476073557070555E-4</v>
      </c>
    </row>
    <row r="80" spans="1:26">
      <c r="A80" s="5">
        <v>66</v>
      </c>
      <c r="B80" s="6">
        <v>42520.586805497682</v>
      </c>
      <c r="C80" s="6">
        <v>42520.586805497682</v>
      </c>
      <c r="D80" s="7">
        <v>0</v>
      </c>
      <c r="E80" s="8"/>
      <c r="F80" s="8"/>
      <c r="G80" s="9"/>
      <c r="H80">
        <v>1714</v>
      </c>
      <c r="I80">
        <v>331.59</v>
      </c>
      <c r="J80">
        <v>335.31960000000004</v>
      </c>
      <c r="K80">
        <v>0.20637418830000001</v>
      </c>
      <c r="L80" s="36">
        <f t="shared" ref="L80:L115" si="8">(K80-K$116)^2</f>
        <v>6.4991915101657626E-3</v>
      </c>
      <c r="M80">
        <v>0.60255922896000003</v>
      </c>
      <c r="N80" s="36">
        <f t="shared" ref="N80:N115" si="9">(M80-M$116)^2</f>
        <v>4.5435564765510743E-2</v>
      </c>
      <c r="O80">
        <v>5.5768768099999998E-2</v>
      </c>
      <c r="P80" s="36">
        <f t="shared" ref="P80:P115" si="10">(O80-O$116)^2</f>
        <v>3.4606736079314166E-3</v>
      </c>
      <c r="Q80">
        <v>0.14655835730000003</v>
      </c>
      <c r="R80" s="36">
        <f t="shared" ref="R80:R115" si="11">(Q80-Q$116)^2</f>
        <v>5.0360059152265213E-2</v>
      </c>
      <c r="S80" s="33">
        <v>7.66806781E-3</v>
      </c>
      <c r="T80" s="36">
        <f t="shared" ref="T80:T114" si="12">S80*S80</f>
        <v>5.8799263938758196E-5</v>
      </c>
      <c r="U80" s="34">
        <v>-1.023669E-2</v>
      </c>
      <c r="V80" s="36">
        <f t="shared" ref="V80:V114" si="13">U80*U80</f>
        <v>1.047898221561E-4</v>
      </c>
      <c r="W80" s="35">
        <v>-7.3202512799999996E-3</v>
      </c>
      <c r="X80" s="36">
        <f t="shared" ref="X80:X114" si="14">W80*W80</f>
        <v>5.3586078802341631E-5</v>
      </c>
      <c r="Y80" s="36">
        <v>-1.37166852E-3</v>
      </c>
      <c r="Z80" s="36">
        <f t="shared" ref="Z80:Z114" si="15">Y80*Y80</f>
        <v>1.8814745287589905E-6</v>
      </c>
    </row>
    <row r="81" spans="1:26">
      <c r="A81" s="5">
        <v>67</v>
      </c>
      <c r="B81" s="6">
        <v>42520.587499942128</v>
      </c>
      <c r="C81" s="6">
        <v>42520.587499942128</v>
      </c>
      <c r="D81" s="7">
        <v>0</v>
      </c>
      <c r="E81" s="8"/>
      <c r="F81" s="8"/>
      <c r="G81" s="9"/>
      <c r="H81">
        <v>1414</v>
      </c>
      <c r="I81">
        <v>466.899</v>
      </c>
      <c r="J81">
        <v>127.4196</v>
      </c>
      <c r="K81">
        <v>9.2142699896000005E-2</v>
      </c>
      <c r="L81" s="36">
        <f t="shared" si="8"/>
        <v>1.1298959618412021E-3</v>
      </c>
      <c r="M81">
        <v>0.28963561016</v>
      </c>
      <c r="N81" s="36">
        <f t="shared" si="9"/>
        <v>9.9535382438658108E-3</v>
      </c>
      <c r="O81">
        <v>8.9123591254999995E-2</v>
      </c>
      <c r="P81" s="36">
        <f t="shared" si="10"/>
        <v>6.4885676842069704E-4</v>
      </c>
      <c r="Q81">
        <v>0.55184149013000006</v>
      </c>
      <c r="R81" s="36">
        <f t="shared" si="11"/>
        <v>3.2714920073260594E-2</v>
      </c>
      <c r="S81" s="33">
        <v>5.8305282900000003E-3</v>
      </c>
      <c r="T81" s="36">
        <f t="shared" si="12"/>
        <v>3.3995060140490328E-5</v>
      </c>
      <c r="U81" s="34">
        <v>-4.8644862800000001E-3</v>
      </c>
      <c r="V81" s="36">
        <f t="shared" si="13"/>
        <v>2.366322676830824E-5</v>
      </c>
      <c r="W81" s="35">
        <v>-1.51889838E-2</v>
      </c>
      <c r="X81" s="36">
        <f t="shared" si="14"/>
        <v>2.3070522887666244E-4</v>
      </c>
      <c r="Y81" s="36">
        <v>-8.5204492499999993E-3</v>
      </c>
      <c r="Z81" s="36">
        <f t="shared" si="15"/>
        <v>7.2598055421825547E-5</v>
      </c>
    </row>
    <row r="82" spans="1:26">
      <c r="A82" s="5">
        <v>68</v>
      </c>
      <c r="B82" s="6">
        <v>42520.588194386575</v>
      </c>
      <c r="C82" s="6">
        <v>42520.588194386575</v>
      </c>
      <c r="D82" s="7">
        <v>0</v>
      </c>
      <c r="E82" s="10"/>
      <c r="F82" s="10"/>
      <c r="G82" s="11"/>
      <c r="H82">
        <v>1414.55</v>
      </c>
      <c r="I82">
        <v>295.46999999999997</v>
      </c>
      <c r="J82">
        <v>383.60607999999996</v>
      </c>
      <c r="K82">
        <v>0.15242643248000001</v>
      </c>
      <c r="L82" s="36">
        <f t="shared" si="8"/>
        <v>7.1127863027137478E-4</v>
      </c>
      <c r="M82">
        <v>0.46928584791</v>
      </c>
      <c r="N82" s="36">
        <f t="shared" si="9"/>
        <v>6.381264451248341E-3</v>
      </c>
      <c r="O82">
        <v>0.16300716600000001</v>
      </c>
      <c r="P82" s="36">
        <f t="shared" si="10"/>
        <v>2.3436159804698853E-3</v>
      </c>
      <c r="Q82">
        <v>0.21519179499999999</v>
      </c>
      <c r="R82" s="36">
        <f t="shared" si="11"/>
        <v>2.4266483866223595E-2</v>
      </c>
      <c r="S82" s="33">
        <v>4.4292233600000001E-2</v>
      </c>
      <c r="T82" s="36">
        <f t="shared" si="12"/>
        <v>1.9618019572769691E-3</v>
      </c>
      <c r="U82" s="34">
        <v>-2.0689322699999999E-2</v>
      </c>
      <c r="V82" s="36">
        <f t="shared" si="13"/>
        <v>4.280480737847352E-4</v>
      </c>
      <c r="W82" s="35">
        <v>-6.6280612700000005E-2</v>
      </c>
      <c r="X82" s="36">
        <f t="shared" si="14"/>
        <v>4.3931196198874018E-3</v>
      </c>
      <c r="Y82" s="36">
        <v>4.2766460899999997E-2</v>
      </c>
      <c r="Z82" s="36">
        <f t="shared" si="15"/>
        <v>1.8289701779112286E-3</v>
      </c>
    </row>
    <row r="83" spans="1:26">
      <c r="A83" s="5">
        <v>69</v>
      </c>
      <c r="B83" s="6">
        <v>42520.588888831022</v>
      </c>
      <c r="C83" s="6">
        <v>42520.588888831022</v>
      </c>
      <c r="D83" s="7">
        <v>0</v>
      </c>
      <c r="E83" s="12"/>
      <c r="F83" s="10"/>
      <c r="G83" s="11"/>
      <c r="H83">
        <v>1824.78</v>
      </c>
      <c r="I83">
        <v>439.84500000000003</v>
      </c>
      <c r="J83">
        <v>175.97756000000001</v>
      </c>
      <c r="K83">
        <v>0.16048981377000002</v>
      </c>
      <c r="L83" s="36">
        <f t="shared" si="8"/>
        <v>1.2063944011571452E-3</v>
      </c>
      <c r="M83">
        <v>0.52072633830000004</v>
      </c>
      <c r="N83" s="36">
        <f t="shared" si="9"/>
        <v>1.7245811062850318E-2</v>
      </c>
      <c r="O83">
        <v>2.4700647114E-2</v>
      </c>
      <c r="P83" s="36">
        <f t="shared" si="10"/>
        <v>8.0812209176871538E-3</v>
      </c>
      <c r="Q83">
        <v>0.31774291100000002</v>
      </c>
      <c r="R83" s="36">
        <f t="shared" si="11"/>
        <v>2.8329981912686192E-3</v>
      </c>
      <c r="S83" s="33">
        <v>-1.29155369E-2</v>
      </c>
      <c r="T83" s="36">
        <f t="shared" si="12"/>
        <v>1.6681109341526161E-4</v>
      </c>
      <c r="U83" s="34">
        <v>1.19634596E-2</v>
      </c>
      <c r="V83" s="36">
        <f t="shared" si="13"/>
        <v>1.4312436560083217E-4</v>
      </c>
      <c r="W83" s="35">
        <v>5.8659352200000001E-3</v>
      </c>
      <c r="X83" s="36">
        <f t="shared" si="14"/>
        <v>3.4409196005236451E-5</v>
      </c>
      <c r="Y83" s="36">
        <v>-2.8573568000000001E-2</v>
      </c>
      <c r="Z83" s="36">
        <f t="shared" si="15"/>
        <v>8.1644878825062406E-4</v>
      </c>
    </row>
    <row r="84" spans="1:26">
      <c r="A84" s="5">
        <v>70</v>
      </c>
      <c r="B84" s="6">
        <v>42520.589583275461</v>
      </c>
      <c r="C84" s="6">
        <v>42520.589583275461</v>
      </c>
      <c r="D84" s="7">
        <v>0</v>
      </c>
      <c r="E84" s="8"/>
      <c r="F84" s="8"/>
      <c r="G84" s="9"/>
      <c r="H84">
        <v>1589.83</v>
      </c>
      <c r="I84">
        <v>339.69400000000002</v>
      </c>
      <c r="J84">
        <v>73.289040000000014</v>
      </c>
      <c r="K84">
        <v>6.0139939545E-2</v>
      </c>
      <c r="L84" s="36">
        <f t="shared" si="8"/>
        <v>4.3055494119429299E-3</v>
      </c>
      <c r="M84">
        <v>0.18119030997999999</v>
      </c>
      <c r="N84" s="36">
        <f t="shared" si="9"/>
        <v>4.3352537158656577E-2</v>
      </c>
      <c r="O84">
        <v>6.2322332639999999E-2</v>
      </c>
      <c r="P84" s="36">
        <f t="shared" si="10"/>
        <v>2.7325633080838969E-3</v>
      </c>
      <c r="Q84">
        <v>0.69792074236000001</v>
      </c>
      <c r="R84" s="36">
        <f t="shared" si="11"/>
        <v>0.1068975546060274</v>
      </c>
      <c r="S84" s="33">
        <v>-5.1849469500000002E-2</v>
      </c>
      <c r="T84" s="36">
        <f t="shared" si="12"/>
        <v>2.6883674874314304E-3</v>
      </c>
      <c r="U84" s="34">
        <v>4.1130027600000001E-2</v>
      </c>
      <c r="V84" s="36">
        <f t="shared" si="13"/>
        <v>1.6916791703767617E-3</v>
      </c>
      <c r="W84" s="35">
        <v>0.136065029</v>
      </c>
      <c r="X84" s="36">
        <f t="shared" si="14"/>
        <v>1.8513692116770841E-2</v>
      </c>
      <c r="Y84" s="36">
        <v>-0.12691891199999999</v>
      </c>
      <c r="Z84" s="36">
        <f t="shared" si="15"/>
        <v>1.6108410223263744E-2</v>
      </c>
    </row>
    <row r="85" spans="1:26">
      <c r="A85" s="5">
        <v>71</v>
      </c>
      <c r="B85" s="6">
        <v>42520.590277719908</v>
      </c>
      <c r="C85" s="6">
        <v>42520.590277719908</v>
      </c>
      <c r="D85" s="7">
        <v>0</v>
      </c>
      <c r="E85" s="8"/>
      <c r="F85" s="8"/>
      <c r="G85" s="9"/>
      <c r="H85">
        <v>1298.83</v>
      </c>
      <c r="I85">
        <v>463.315</v>
      </c>
      <c r="J85">
        <v>261.75644</v>
      </c>
      <c r="K85">
        <v>9.0423117289000002E-2</v>
      </c>
      <c r="L85" s="36">
        <f t="shared" si="8"/>
        <v>1.2484567681554633E-3</v>
      </c>
      <c r="M85">
        <v>0.28142246201000004</v>
      </c>
      <c r="N85" s="36">
        <f t="shared" si="9"/>
        <v>1.1659803260788342E-2</v>
      </c>
      <c r="O85">
        <v>0.21435997464000001</v>
      </c>
      <c r="P85" s="36">
        <f t="shared" si="10"/>
        <v>9.9527990899968572E-3</v>
      </c>
      <c r="Q85">
        <v>0.40897037808000003</v>
      </c>
      <c r="R85" s="36">
        <f t="shared" si="11"/>
        <v>1.4441178436258272E-3</v>
      </c>
      <c r="S85" s="33">
        <v>2.6899535200000001E-2</v>
      </c>
      <c r="T85" s="36">
        <f t="shared" si="12"/>
        <v>7.2358499397603916E-4</v>
      </c>
      <c r="U85" s="34">
        <v>-1.74680319E-2</v>
      </c>
      <c r="V85" s="36">
        <f t="shared" si="13"/>
        <v>3.051321384594176E-4</v>
      </c>
      <c r="W85" s="35">
        <v>-5.1971417800000003E-2</v>
      </c>
      <c r="X85" s="36">
        <f t="shared" si="14"/>
        <v>2.7010282681421572E-3</v>
      </c>
      <c r="Y85" s="36">
        <v>4.7363982499999999E-2</v>
      </c>
      <c r="Z85" s="36">
        <f t="shared" si="15"/>
        <v>2.243346838260306E-3</v>
      </c>
    </row>
    <row r="86" spans="1:26">
      <c r="A86" s="5">
        <v>72</v>
      </c>
      <c r="B86" s="6">
        <v>42520.590972164355</v>
      </c>
      <c r="C86" s="6">
        <v>42520.590972164355</v>
      </c>
      <c r="D86" s="7">
        <v>0</v>
      </c>
      <c r="E86" s="8"/>
      <c r="F86" s="8"/>
      <c r="G86" s="9"/>
      <c r="H86">
        <v>1404.54</v>
      </c>
      <c r="I86">
        <v>323.01</v>
      </c>
      <c r="J86">
        <v>96.58</v>
      </c>
      <c r="K86">
        <v>7.7688630656999991E-2</v>
      </c>
      <c r="L86" s="36">
        <f t="shared" si="8"/>
        <v>2.3105320815084329E-3</v>
      </c>
      <c r="M86">
        <v>0.25151344311000001</v>
      </c>
      <c r="N86" s="36">
        <f t="shared" si="9"/>
        <v>1.9013538424701933E-2</v>
      </c>
      <c r="O86">
        <v>6.7279818615E-2</v>
      </c>
      <c r="P86" s="36">
        <f t="shared" si="10"/>
        <v>2.2388454682448294E-3</v>
      </c>
      <c r="Q86">
        <v>0.61973303989000006</v>
      </c>
      <c r="R86" s="36">
        <f t="shared" si="11"/>
        <v>6.1883633347305039E-2</v>
      </c>
      <c r="S86" s="33">
        <v>-1.76858712E-3</v>
      </c>
      <c r="T86" s="36">
        <f t="shared" si="12"/>
        <v>3.1279004010298946E-6</v>
      </c>
      <c r="U86" s="34">
        <v>4.5170519799999998E-3</v>
      </c>
      <c r="V86" s="36">
        <f t="shared" si="13"/>
        <v>2.0403758590021919E-5</v>
      </c>
      <c r="W86" s="35">
        <v>8.5912866899999999E-3</v>
      </c>
      <c r="X86" s="36">
        <f t="shared" si="14"/>
        <v>7.3810206989771148E-5</v>
      </c>
      <c r="Y86" s="36">
        <v>-2.7554684499999999E-2</v>
      </c>
      <c r="Z86" s="36">
        <f t="shared" si="15"/>
        <v>7.5926063789454024E-4</v>
      </c>
    </row>
    <row r="87" spans="1:26">
      <c r="A87" s="5">
        <v>73</v>
      </c>
      <c r="B87" s="6">
        <v>42520.591666608794</v>
      </c>
      <c r="C87" s="6">
        <v>42520.591666608794</v>
      </c>
      <c r="D87" s="7">
        <v>0</v>
      </c>
      <c r="E87" s="8"/>
      <c r="F87" s="8"/>
      <c r="G87" s="9"/>
      <c r="H87">
        <v>1643.46</v>
      </c>
      <c r="I87">
        <v>461.09</v>
      </c>
      <c r="J87">
        <v>288.68840000000006</v>
      </c>
      <c r="K87">
        <v>0.17321954661</v>
      </c>
      <c r="L87" s="36">
        <f t="shared" si="8"/>
        <v>2.2527289264242432E-3</v>
      </c>
      <c r="M87">
        <v>0.52195096939999996</v>
      </c>
      <c r="N87" s="36">
        <f t="shared" si="9"/>
        <v>1.7568955996941384E-2</v>
      </c>
      <c r="O87">
        <v>8.593659963200001E-2</v>
      </c>
      <c r="P87" s="36">
        <f t="shared" si="10"/>
        <v>8.2137603725617554E-4</v>
      </c>
      <c r="Q87">
        <v>0.21399231270000002</v>
      </c>
      <c r="R87" s="36">
        <f t="shared" si="11"/>
        <v>2.4641626210562373E-2</v>
      </c>
      <c r="S87" s="33">
        <v>4.5922449800000001E-3</v>
      </c>
      <c r="T87" s="36">
        <f t="shared" si="12"/>
        <v>2.1088713956335203E-5</v>
      </c>
      <c r="U87" s="34">
        <v>-4.6242651000000003E-3</v>
      </c>
      <c r="V87" s="36">
        <f t="shared" si="13"/>
        <v>2.1383827715078012E-5</v>
      </c>
      <c r="W87" s="35">
        <v>-8.2497250800000008E-3</v>
      </c>
      <c r="X87" s="36">
        <f t="shared" si="14"/>
        <v>6.8057963895581017E-5</v>
      </c>
      <c r="Y87" s="36">
        <v>1.31823162E-2</v>
      </c>
      <c r="Z87" s="36">
        <f t="shared" si="15"/>
        <v>1.7377346039678244E-4</v>
      </c>
    </row>
    <row r="88" spans="1:26">
      <c r="A88" s="5">
        <v>74</v>
      </c>
      <c r="B88" s="6">
        <v>42520.592361053241</v>
      </c>
      <c r="C88" s="6">
        <v>42520.592361053241</v>
      </c>
      <c r="D88" s="7">
        <v>0</v>
      </c>
      <c r="E88" s="10"/>
      <c r="F88" s="10"/>
      <c r="G88" s="11"/>
      <c r="H88">
        <v>1827</v>
      </c>
      <c r="I88">
        <v>421.89</v>
      </c>
      <c r="J88">
        <v>393.58000000000004</v>
      </c>
      <c r="K88">
        <v>0.20089170335999998</v>
      </c>
      <c r="L88" s="36">
        <f t="shared" si="8"/>
        <v>5.6452799980535396E-3</v>
      </c>
      <c r="M88">
        <v>0.63386101299999997</v>
      </c>
      <c r="N88" s="36">
        <f t="shared" si="9"/>
        <v>5.9759705005656749E-2</v>
      </c>
      <c r="O88">
        <v>6.3665407829999993E-2</v>
      </c>
      <c r="P88" s="36">
        <f t="shared" si="10"/>
        <v>2.5939515336668782E-3</v>
      </c>
      <c r="Q88">
        <v>9.2570534615999997E-2</v>
      </c>
      <c r="R88" s="36">
        <f t="shared" si="11"/>
        <v>7.7505609501666531E-2</v>
      </c>
      <c r="S88" s="33">
        <v>1.1695754600000001E-3</v>
      </c>
      <c r="T88" s="36">
        <f t="shared" si="12"/>
        <v>1.3679067566342117E-6</v>
      </c>
      <c r="U88" s="34">
        <v>6.9627568099999999E-3</v>
      </c>
      <c r="V88" s="36">
        <f t="shared" si="13"/>
        <v>4.8479982395201376E-5</v>
      </c>
      <c r="W88" s="35">
        <v>-4.1877975700000004E-3</v>
      </c>
      <c r="X88" s="36">
        <f t="shared" si="14"/>
        <v>1.7537648487297906E-5</v>
      </c>
      <c r="Y88" s="36">
        <v>5.0668062999999998E-3</v>
      </c>
      <c r="Z88" s="36">
        <f t="shared" si="15"/>
        <v>2.5672526081719689E-5</v>
      </c>
    </row>
    <row r="89" spans="1:26">
      <c r="A89" s="5">
        <v>75</v>
      </c>
      <c r="B89" s="6">
        <v>42520.593055497688</v>
      </c>
      <c r="C89" s="6">
        <v>42520.593055497688</v>
      </c>
      <c r="D89" s="7">
        <v>0</v>
      </c>
      <c r="E89" s="12"/>
      <c r="F89" s="10"/>
      <c r="G89" s="11"/>
      <c r="H89">
        <v>1557.54</v>
      </c>
      <c r="I89">
        <v>517.72799999999995</v>
      </c>
      <c r="J89">
        <v>199.49159999999998</v>
      </c>
      <c r="K89">
        <v>0.13094974098000001</v>
      </c>
      <c r="L89" s="36">
        <f t="shared" si="8"/>
        <v>2.6968453435908422E-5</v>
      </c>
      <c r="M89">
        <v>0.40715521578000002</v>
      </c>
      <c r="N89" s="36">
        <f t="shared" si="9"/>
        <v>3.1514006752373259E-4</v>
      </c>
      <c r="O89">
        <v>9.72022731E-2</v>
      </c>
      <c r="P89" s="36">
        <f t="shared" si="10"/>
        <v>3.0255072252759961E-4</v>
      </c>
      <c r="Q89">
        <v>0.36016333595</v>
      </c>
      <c r="R89" s="36">
        <f t="shared" si="11"/>
        <v>1.1675864844990964E-4</v>
      </c>
      <c r="S89" s="33">
        <v>-9.8125355800000001E-3</v>
      </c>
      <c r="T89" s="36">
        <f t="shared" si="12"/>
        <v>9.6285854508765942E-5</v>
      </c>
      <c r="U89" s="34">
        <v>5.2387071E-3</v>
      </c>
      <c r="V89" s="36">
        <f t="shared" si="13"/>
        <v>2.744405207959041E-5</v>
      </c>
      <c r="W89" s="35">
        <v>1.1293361999999999E-2</v>
      </c>
      <c r="X89" s="36">
        <f t="shared" si="14"/>
        <v>1.2754002526304398E-4</v>
      </c>
      <c r="Y89" s="36">
        <v>-2.1900995100000002E-3</v>
      </c>
      <c r="Z89" s="36">
        <f t="shared" si="15"/>
        <v>4.796535863702241E-6</v>
      </c>
    </row>
    <row r="90" spans="1:26">
      <c r="A90" s="5">
        <v>76</v>
      </c>
      <c r="B90" s="6">
        <v>42520.593749942127</v>
      </c>
      <c r="C90" s="6">
        <v>42520.593749942127</v>
      </c>
      <c r="D90" s="7">
        <v>0</v>
      </c>
      <c r="E90" s="8"/>
      <c r="F90" s="8"/>
      <c r="G90" s="9"/>
      <c r="H90">
        <v>1422.96</v>
      </c>
      <c r="I90">
        <v>385.77</v>
      </c>
      <c r="J90">
        <v>240.17840000000001</v>
      </c>
      <c r="K90">
        <v>0.12688642316000001</v>
      </c>
      <c r="L90" s="36">
        <f t="shared" si="8"/>
        <v>1.2764438506146118E-6</v>
      </c>
      <c r="M90">
        <v>0.39782602599999994</v>
      </c>
      <c r="N90" s="36">
        <f t="shared" si="9"/>
        <v>7.094684622214434E-5</v>
      </c>
      <c r="O90">
        <v>0.1296186661</v>
      </c>
      <c r="P90" s="36">
        <f t="shared" si="10"/>
        <v>2.2567273490920953E-4</v>
      </c>
      <c r="Q90">
        <v>0.34383842888000005</v>
      </c>
      <c r="R90" s="36">
        <f t="shared" si="11"/>
        <v>7.3605853132084165E-4</v>
      </c>
      <c r="S90" s="33">
        <v>2.2300443E-2</v>
      </c>
      <c r="T90" s="36">
        <f t="shared" si="12"/>
        <v>4.9730975799624902E-4</v>
      </c>
      <c r="U90" s="34">
        <v>-1.12163613E-2</v>
      </c>
      <c r="V90" s="36">
        <f t="shared" si="13"/>
        <v>1.2580676081213769E-4</v>
      </c>
      <c r="W90" s="35">
        <v>-4.0990924999999998E-2</v>
      </c>
      <c r="X90" s="36">
        <f t="shared" si="14"/>
        <v>1.6802559323556249E-3</v>
      </c>
      <c r="Y90" s="36">
        <v>3.1737299300000001E-2</v>
      </c>
      <c r="Z90" s="36">
        <f t="shared" si="15"/>
        <v>1.0072561668577806E-3</v>
      </c>
    </row>
    <row r="91" spans="1:26">
      <c r="A91" s="5">
        <v>77</v>
      </c>
      <c r="B91" s="6">
        <v>42520.594444386574</v>
      </c>
      <c r="C91" s="6">
        <v>42520.594444386574</v>
      </c>
      <c r="D91" s="7">
        <v>0</v>
      </c>
      <c r="E91" s="8"/>
      <c r="F91" s="8"/>
      <c r="G91" s="9"/>
      <c r="H91">
        <v>1699.44</v>
      </c>
      <c r="I91">
        <v>514.99799999999993</v>
      </c>
      <c r="J91">
        <v>48.963200000000001</v>
      </c>
      <c r="K91">
        <v>3.4956870167000005E-2</v>
      </c>
      <c r="L91" s="36">
        <f t="shared" si="8"/>
        <v>8.2445954802825693E-3</v>
      </c>
      <c r="M91">
        <v>0.11954136588000001</v>
      </c>
      <c r="N91" s="36">
        <f t="shared" si="9"/>
        <v>7.2825318254814989E-2</v>
      </c>
      <c r="O91">
        <v>5.1831217200000002E-2</v>
      </c>
      <c r="P91" s="36">
        <f t="shared" si="10"/>
        <v>3.93945038929962E-3</v>
      </c>
      <c r="Q91">
        <v>0.79314432800000001</v>
      </c>
      <c r="R91" s="36">
        <f t="shared" si="11"/>
        <v>0.17823215319066951</v>
      </c>
      <c r="S91" s="33">
        <v>-4.9793641299999997E-2</v>
      </c>
      <c r="T91" s="36">
        <f t="shared" si="12"/>
        <v>2.4794067139130654E-3</v>
      </c>
      <c r="U91" s="34">
        <v>4.5405897899999999E-2</v>
      </c>
      <c r="V91" s="36">
        <f t="shared" si="13"/>
        <v>2.0616955641052244E-3</v>
      </c>
      <c r="W91" s="35">
        <v>0.13638760699999999</v>
      </c>
      <c r="X91" s="36">
        <f t="shared" si="14"/>
        <v>1.8601579343186448E-2</v>
      </c>
      <c r="Y91" s="36">
        <v>-0.131473644</v>
      </c>
      <c r="Z91" s="36">
        <f t="shared" si="15"/>
        <v>1.7285319066638737E-2</v>
      </c>
    </row>
    <row r="92" spans="1:26">
      <c r="A92" s="5">
        <v>78</v>
      </c>
      <c r="B92" s="6">
        <v>42520.59513883102</v>
      </c>
      <c r="C92" s="6">
        <v>42520.59513883102</v>
      </c>
      <c r="D92" s="7">
        <v>0</v>
      </c>
      <c r="E92" s="8"/>
      <c r="F92" s="8"/>
      <c r="G92" s="9"/>
      <c r="H92">
        <v>1602</v>
      </c>
      <c r="I92">
        <v>289.642</v>
      </c>
      <c r="J92">
        <v>149.00160000000002</v>
      </c>
      <c r="K92">
        <v>0.13993821604000001</v>
      </c>
      <c r="L92" s="36">
        <f t="shared" si="8"/>
        <v>2.0111752402758858E-4</v>
      </c>
      <c r="M92">
        <v>0.41700298925000001</v>
      </c>
      <c r="N92" s="36">
        <f t="shared" si="9"/>
        <v>7.6175770015996316E-4</v>
      </c>
      <c r="O92">
        <v>3.1006467460000003E-2</v>
      </c>
      <c r="P92" s="36">
        <f t="shared" si="10"/>
        <v>6.9872531393537765E-3</v>
      </c>
      <c r="Q92">
        <v>0.40489785</v>
      </c>
      <c r="R92" s="36">
        <f t="shared" si="11"/>
        <v>1.1511785652533683E-3</v>
      </c>
      <c r="S92" s="33">
        <v>-5.6740080300000002E-3</v>
      </c>
      <c r="T92" s="36">
        <f t="shared" si="12"/>
        <v>3.2194367124504486E-5</v>
      </c>
      <c r="U92" s="34">
        <v>9.3054446899999994E-3</v>
      </c>
      <c r="V92" s="36">
        <f t="shared" si="13"/>
        <v>8.6591300878649183E-5</v>
      </c>
      <c r="W92" s="35">
        <v>4.1060082499999997E-2</v>
      </c>
      <c r="X92" s="36">
        <f t="shared" si="14"/>
        <v>1.6859303749068061E-3</v>
      </c>
      <c r="Y92" s="36">
        <v>-3.7537041100000001E-2</v>
      </c>
      <c r="Z92" s="36">
        <f t="shared" si="15"/>
        <v>1.4090294545430894E-3</v>
      </c>
    </row>
    <row r="93" spans="1:26">
      <c r="A93" s="5">
        <v>79</v>
      </c>
      <c r="B93" s="6">
        <v>42520.59583327546</v>
      </c>
      <c r="C93" s="6">
        <v>42520.59583327546</v>
      </c>
      <c r="D93" s="7">
        <v>0</v>
      </c>
      <c r="E93" s="8"/>
      <c r="F93" s="8"/>
      <c r="G93" s="9"/>
      <c r="H93">
        <v>1367.1</v>
      </c>
      <c r="I93">
        <v>436.1</v>
      </c>
      <c r="J93">
        <v>354.40240000000006</v>
      </c>
      <c r="K93">
        <v>8.1815273760000001E-2</v>
      </c>
      <c r="L93" s="36">
        <f t="shared" si="8"/>
        <v>1.9308423500309251E-3</v>
      </c>
      <c r="M93">
        <v>0.27812372699999999</v>
      </c>
      <c r="N93" s="36">
        <f t="shared" si="9"/>
        <v>1.2383083479539921E-2</v>
      </c>
      <c r="O93">
        <v>0.27751750708999995</v>
      </c>
      <c r="P93" s="36">
        <f t="shared" si="10"/>
        <v>2.6543333294275644E-2</v>
      </c>
      <c r="Q93">
        <v>0.36762368383999999</v>
      </c>
      <c r="R93" s="36">
        <f t="shared" si="11"/>
        <v>1.1189986357659667E-5</v>
      </c>
      <c r="S93" s="33">
        <v>-2.6137536900000001E-2</v>
      </c>
      <c r="T93" s="36">
        <f t="shared" si="12"/>
        <v>6.8317083519886166E-4</v>
      </c>
      <c r="U93" s="34">
        <v>1.8820125699999999E-2</v>
      </c>
      <c r="V93" s="36">
        <f t="shared" si="13"/>
        <v>3.5419713136380048E-4</v>
      </c>
      <c r="W93" s="35">
        <v>3.2541566899999999E-2</v>
      </c>
      <c r="X93" s="36">
        <f t="shared" si="14"/>
        <v>1.0589535763071757E-3</v>
      </c>
      <c r="Y93" s="36">
        <v>-3.0304347799999999E-2</v>
      </c>
      <c r="Z93" s="36">
        <f t="shared" si="15"/>
        <v>9.1835349558336483E-4</v>
      </c>
    </row>
    <row r="94" spans="1:26">
      <c r="A94" s="5">
        <v>80</v>
      </c>
      <c r="B94" s="6">
        <v>42520.596527719907</v>
      </c>
      <c r="C94" s="6">
        <v>42520.596527719907</v>
      </c>
      <c r="D94" s="7">
        <v>0</v>
      </c>
      <c r="E94" s="10"/>
      <c r="F94" s="10"/>
      <c r="G94" s="11"/>
      <c r="H94">
        <v>1333.2</v>
      </c>
      <c r="I94">
        <v>301.05599999999998</v>
      </c>
      <c r="J94">
        <v>300.84823999999998</v>
      </c>
      <c r="K94">
        <v>0.10544622425</v>
      </c>
      <c r="L94" s="36">
        <f t="shared" si="8"/>
        <v>4.1251237919591791E-4</v>
      </c>
      <c r="M94">
        <v>0.31638440099999998</v>
      </c>
      <c r="N94" s="36">
        <f t="shared" si="9"/>
        <v>5.3317203144885262E-3</v>
      </c>
      <c r="O94">
        <v>0.20960973470000002</v>
      </c>
      <c r="P94" s="36">
        <f t="shared" si="10"/>
        <v>9.027560690021778E-3</v>
      </c>
      <c r="Q94">
        <v>0.35699281002</v>
      </c>
      <c r="R94" s="36">
        <f t="shared" si="11"/>
        <v>1.9532906565254053E-4</v>
      </c>
      <c r="S94" s="33">
        <v>1.10591671E-2</v>
      </c>
      <c r="T94" s="36">
        <f t="shared" si="12"/>
        <v>1.2230517694572241E-4</v>
      </c>
      <c r="U94" s="34">
        <v>-5.4556018899999999E-3</v>
      </c>
      <c r="V94" s="36">
        <f t="shared" si="13"/>
        <v>2.9763591982171571E-5</v>
      </c>
      <c r="W94" s="35">
        <v>-7.0133340700000001E-3</v>
      </c>
      <c r="X94" s="36">
        <f t="shared" si="14"/>
        <v>4.9186854777422766E-5</v>
      </c>
      <c r="Y94" s="36">
        <v>1.2976598900000001E-2</v>
      </c>
      <c r="Z94" s="36">
        <f t="shared" si="15"/>
        <v>1.6839211901148124E-4</v>
      </c>
    </row>
    <row r="95" spans="1:26">
      <c r="A95" s="5">
        <v>81</v>
      </c>
      <c r="B95" s="6">
        <v>42520.597222164353</v>
      </c>
      <c r="C95" s="6">
        <v>42520.597222164353</v>
      </c>
      <c r="D95" s="7">
        <v>0</v>
      </c>
      <c r="E95" s="12"/>
      <c r="F95" s="10"/>
      <c r="G95" s="11"/>
      <c r="H95">
        <v>1668.6</v>
      </c>
      <c r="I95">
        <v>462.48799999999994</v>
      </c>
      <c r="J95">
        <v>111.16776</v>
      </c>
      <c r="K95">
        <v>8.9769606636999996E-2</v>
      </c>
      <c r="L95" s="36">
        <f t="shared" si="8"/>
        <v>1.2950654916694172E-3</v>
      </c>
      <c r="M95">
        <v>0.28821603195000001</v>
      </c>
      <c r="N95" s="36">
        <f t="shared" si="9"/>
        <v>1.0238808759300109E-2</v>
      </c>
      <c r="O95">
        <v>7.7146468047999989E-2</v>
      </c>
      <c r="P95" s="36">
        <f t="shared" si="10"/>
        <v>1.4024867929110358E-3</v>
      </c>
      <c r="Q95">
        <v>0.56981602987000002</v>
      </c>
      <c r="R95" s="36">
        <f t="shared" si="11"/>
        <v>3.9540209875418474E-2</v>
      </c>
      <c r="S95" s="33">
        <v>-6.1881478300000001E-2</v>
      </c>
      <c r="T95" s="36">
        <f t="shared" si="12"/>
        <v>3.8293173565933708E-3</v>
      </c>
      <c r="U95" s="34">
        <v>4.1230646000000003E-2</v>
      </c>
      <c r="V95" s="36">
        <f t="shared" si="13"/>
        <v>1.6999661695773162E-3</v>
      </c>
      <c r="W95" s="35">
        <v>0.116387359</v>
      </c>
      <c r="X95" s="36">
        <f t="shared" si="14"/>
        <v>1.354601733499488E-2</v>
      </c>
      <c r="Y95" s="36">
        <v>-0.120684664</v>
      </c>
      <c r="Z95" s="36">
        <f t="shared" si="15"/>
        <v>1.4564788124792895E-2</v>
      </c>
    </row>
    <row r="96" spans="1:26">
      <c r="A96" s="5">
        <v>82</v>
      </c>
      <c r="B96" s="6">
        <v>42520.597916608793</v>
      </c>
      <c r="C96" s="6">
        <v>42520.597916608793</v>
      </c>
      <c r="D96" s="7">
        <v>0</v>
      </c>
      <c r="E96" s="8"/>
      <c r="F96" s="8"/>
      <c r="G96" s="9"/>
      <c r="H96">
        <v>1770</v>
      </c>
      <c r="I96">
        <v>357.2</v>
      </c>
      <c r="J96">
        <v>218.38739999999999</v>
      </c>
      <c r="K96">
        <v>0.19030162095000003</v>
      </c>
      <c r="L96" s="36">
        <f t="shared" si="8"/>
        <v>4.1660565003730924E-3</v>
      </c>
      <c r="M96">
        <v>0.55226076400000002</v>
      </c>
      <c r="N96" s="36">
        <f t="shared" si="9"/>
        <v>2.6522641225975887E-2</v>
      </c>
      <c r="O96">
        <v>1.9614560035000003E-2</v>
      </c>
      <c r="P96" s="36">
        <f t="shared" si="10"/>
        <v>9.0215230128925464E-3</v>
      </c>
      <c r="Q96">
        <v>0.24585269100000001</v>
      </c>
      <c r="R96" s="36">
        <f t="shared" si="11"/>
        <v>1.5654047622097853E-2</v>
      </c>
      <c r="S96" s="33">
        <v>1.6144014899999999E-3</v>
      </c>
      <c r="T96" s="36">
        <f t="shared" si="12"/>
        <v>2.6062921709142197E-6</v>
      </c>
      <c r="U96" s="34">
        <v>-5.4860527500000004E-3</v>
      </c>
      <c r="V96" s="36">
        <f t="shared" si="13"/>
        <v>3.0096774775782567E-5</v>
      </c>
      <c r="W96" s="35">
        <v>1.0506025699999999E-2</v>
      </c>
      <c r="X96" s="36">
        <f t="shared" si="14"/>
        <v>1.1037657600906048E-4</v>
      </c>
      <c r="Y96" s="36">
        <v>-1.46640105E-2</v>
      </c>
      <c r="Z96" s="36">
        <f t="shared" si="15"/>
        <v>2.1503320394411024E-4</v>
      </c>
    </row>
    <row r="97" spans="1:26">
      <c r="A97" s="5">
        <v>83</v>
      </c>
      <c r="B97" s="6">
        <v>42520.598611053239</v>
      </c>
      <c r="C97" s="6">
        <v>42520.598611053239</v>
      </c>
      <c r="D97" s="7">
        <v>0</v>
      </c>
      <c r="E97" s="8"/>
      <c r="F97" s="8"/>
      <c r="G97" s="9"/>
      <c r="H97">
        <v>1411.2</v>
      </c>
      <c r="I97">
        <v>539.17499999999995</v>
      </c>
      <c r="J97">
        <v>397.86824000000001</v>
      </c>
      <c r="K97">
        <v>0.12389099184000001</v>
      </c>
      <c r="L97" s="36">
        <f t="shared" si="8"/>
        <v>3.4805871400786543E-6</v>
      </c>
      <c r="M97">
        <v>0.37165116215999999</v>
      </c>
      <c r="N97" s="36">
        <f t="shared" si="9"/>
        <v>3.151288442521496E-4</v>
      </c>
      <c r="O97">
        <v>0.22170283296000001</v>
      </c>
      <c r="P97" s="36">
        <f t="shared" si="10"/>
        <v>1.1471818326840334E-2</v>
      </c>
      <c r="Q97">
        <v>0.25555617289999999</v>
      </c>
      <c r="R97" s="36">
        <f t="shared" si="11"/>
        <v>1.3320080850500234E-2</v>
      </c>
      <c r="S97" s="33">
        <v>4.1139624E-2</v>
      </c>
      <c r="T97" s="36">
        <f t="shared" si="12"/>
        <v>1.692468662861376E-3</v>
      </c>
      <c r="U97" s="34">
        <v>-1.7352362699999999E-2</v>
      </c>
      <c r="V97" s="36">
        <f t="shared" si="13"/>
        <v>3.0110449127235126E-4</v>
      </c>
      <c r="W97" s="35">
        <v>-4.3848182700000002E-2</v>
      </c>
      <c r="X97" s="36">
        <f t="shared" si="14"/>
        <v>1.9226631260925795E-3</v>
      </c>
      <c r="Y97" s="36">
        <v>4.7259761400000003E-2</v>
      </c>
      <c r="Z97" s="36">
        <f t="shared" si="15"/>
        <v>2.2334850475849303E-3</v>
      </c>
    </row>
    <row r="98" spans="1:26">
      <c r="A98" s="5">
        <v>84</v>
      </c>
      <c r="B98" s="6">
        <v>42520.599305497686</v>
      </c>
      <c r="C98" s="6">
        <v>42520.599305497686</v>
      </c>
      <c r="D98" s="7">
        <v>0</v>
      </c>
      <c r="E98" s="8"/>
      <c r="F98" s="8"/>
      <c r="G98" s="9"/>
      <c r="H98">
        <v>1545</v>
      </c>
      <c r="I98">
        <v>393.98399999999992</v>
      </c>
      <c r="J98">
        <v>57.108479999999993</v>
      </c>
      <c r="K98">
        <v>3.9924241755999998E-2</v>
      </c>
      <c r="L98" s="36">
        <f t="shared" si="8"/>
        <v>7.367198015755071E-3</v>
      </c>
      <c r="M98">
        <v>0.13535706589999999</v>
      </c>
      <c r="N98" s="36">
        <f t="shared" si="9"/>
        <v>6.4539352339793035E-2</v>
      </c>
      <c r="O98">
        <v>6.3423067419999993E-2</v>
      </c>
      <c r="P98" s="36">
        <f t="shared" si="10"/>
        <v>2.6186954689296571E-3</v>
      </c>
      <c r="Q98">
        <v>0.76192420298999997</v>
      </c>
      <c r="R98" s="36">
        <f t="shared" si="11"/>
        <v>0.15284610559511924</v>
      </c>
      <c r="S98" s="33">
        <v>-4.9640755000000002E-2</v>
      </c>
      <c r="T98" s="36">
        <f t="shared" si="12"/>
        <v>2.464204556970025E-3</v>
      </c>
      <c r="U98" s="34">
        <v>4.0780057500000001E-2</v>
      </c>
      <c r="V98" s="36">
        <f t="shared" si="13"/>
        <v>1.6630130897033063E-3</v>
      </c>
      <c r="W98" s="35">
        <v>0.121346122</v>
      </c>
      <c r="X98" s="36">
        <f t="shared" si="14"/>
        <v>1.4724881324438884E-2</v>
      </c>
      <c r="Y98" s="36">
        <v>-0.113114003</v>
      </c>
      <c r="Z98" s="36">
        <f t="shared" si="15"/>
        <v>1.279477767468401E-2</v>
      </c>
    </row>
    <row r="99" spans="1:26">
      <c r="A99" s="5">
        <v>85</v>
      </c>
      <c r="B99" s="6">
        <v>42520.599999942133</v>
      </c>
      <c r="C99" s="6">
        <v>42520.599999942133</v>
      </c>
      <c r="D99" s="7">
        <v>0</v>
      </c>
      <c r="E99" s="8"/>
      <c r="F99" s="8"/>
      <c r="G99" s="9"/>
      <c r="H99">
        <v>1808.1</v>
      </c>
      <c r="I99">
        <v>553.37899999999991</v>
      </c>
      <c r="J99">
        <v>254.91311999999999</v>
      </c>
      <c r="K99">
        <v>0.18355645536000001</v>
      </c>
      <c r="L99" s="36">
        <f t="shared" si="8"/>
        <v>3.3408203880217562E-3</v>
      </c>
      <c r="M99">
        <v>0.61037423894999998</v>
      </c>
      <c r="N99" s="36">
        <f t="shared" si="9"/>
        <v>4.8828274780977461E-2</v>
      </c>
      <c r="O99">
        <v>3.2250048429999997E-2</v>
      </c>
      <c r="P99" s="36">
        <f t="shared" si="10"/>
        <v>6.7808982865335534E-3</v>
      </c>
      <c r="Q99">
        <v>0.1974099228</v>
      </c>
      <c r="R99" s="36">
        <f t="shared" si="11"/>
        <v>3.012269341371877E-2</v>
      </c>
      <c r="S99" s="33">
        <v>8.6476854499999995E-3</v>
      </c>
      <c r="T99" s="36">
        <f t="shared" si="12"/>
        <v>7.4782463642141691E-5</v>
      </c>
      <c r="U99" s="34">
        <v>2.6086848899999999E-3</v>
      </c>
      <c r="V99" s="36">
        <f t="shared" si="13"/>
        <v>6.805236855314312E-6</v>
      </c>
      <c r="W99" s="35">
        <v>-4.4023783099999998E-2</v>
      </c>
      <c r="X99" s="36">
        <f t="shared" si="14"/>
        <v>1.9380934784358455E-3</v>
      </c>
      <c r="Y99" s="36">
        <v>9.1767477599999994E-3</v>
      </c>
      <c r="Z99" s="36">
        <f t="shared" si="15"/>
        <v>8.4212699450665003E-5</v>
      </c>
    </row>
    <row r="100" spans="1:26">
      <c r="A100" s="5">
        <v>86</v>
      </c>
      <c r="B100" s="6">
        <v>42520.600694386572</v>
      </c>
      <c r="C100" s="6">
        <v>42520.600694386572</v>
      </c>
      <c r="D100" s="7">
        <v>0</v>
      </c>
      <c r="E100" s="10"/>
      <c r="F100" s="10"/>
      <c r="G100" s="11"/>
      <c r="H100">
        <v>1745.85</v>
      </c>
      <c r="I100">
        <v>327.93600000000004</v>
      </c>
      <c r="J100">
        <v>374.31239999999997</v>
      </c>
      <c r="K100">
        <v>0.18737272234999999</v>
      </c>
      <c r="L100" s="36">
        <f t="shared" si="8"/>
        <v>3.7965434509144923E-3</v>
      </c>
      <c r="M100">
        <v>0.55689878464999998</v>
      </c>
      <c r="N100" s="36">
        <f t="shared" si="9"/>
        <v>2.8054827519657669E-2</v>
      </c>
      <c r="O100">
        <v>8.0846358815000005E-2</v>
      </c>
      <c r="P100" s="36">
        <f t="shared" si="10"/>
        <v>1.139055717944222E-3</v>
      </c>
      <c r="Q100">
        <v>0.14639532963999999</v>
      </c>
      <c r="R100" s="36">
        <f t="shared" si="11"/>
        <v>5.0433255957967826E-2</v>
      </c>
      <c r="S100" s="33">
        <v>-1.4671741E-2</v>
      </c>
      <c r="T100" s="36">
        <f t="shared" si="12"/>
        <v>2.15259983971081E-4</v>
      </c>
      <c r="U100" s="34">
        <v>1.5962224699999999E-2</v>
      </c>
      <c r="V100" s="36">
        <f t="shared" si="13"/>
        <v>2.5479261737329007E-4</v>
      </c>
      <c r="W100" s="35">
        <v>5.9455477600000001E-2</v>
      </c>
      <c r="X100" s="36">
        <f t="shared" si="14"/>
        <v>3.5349538166441017E-3</v>
      </c>
      <c r="Y100" s="36">
        <v>-3.2259157300000001E-2</v>
      </c>
      <c r="Z100" s="36">
        <f t="shared" si="15"/>
        <v>1.0406532297061433E-3</v>
      </c>
    </row>
    <row r="101" spans="1:26">
      <c r="A101" s="5">
        <v>87</v>
      </c>
      <c r="B101" s="6">
        <v>42520.601388831019</v>
      </c>
      <c r="C101" s="6">
        <v>42520.601388831019</v>
      </c>
      <c r="D101" s="7">
        <v>0</v>
      </c>
      <c r="E101" s="12"/>
      <c r="F101" s="10"/>
      <c r="G101" s="11"/>
      <c r="H101">
        <v>1339.2</v>
      </c>
      <c r="I101">
        <v>455.14499999999998</v>
      </c>
      <c r="J101">
        <v>163.24263999999999</v>
      </c>
      <c r="K101">
        <v>9.4229194514999989E-2</v>
      </c>
      <c r="L101" s="36">
        <f t="shared" si="8"/>
        <v>9.9397887387180019E-4</v>
      </c>
      <c r="M101">
        <v>0.29704368987999996</v>
      </c>
      <c r="N101" s="36">
        <f t="shared" si="9"/>
        <v>8.5302478761978238E-3</v>
      </c>
      <c r="O101">
        <v>0.11539137294</v>
      </c>
      <c r="P101" s="36">
        <f t="shared" si="10"/>
        <v>6.322072272126199E-7</v>
      </c>
      <c r="Q101">
        <v>0.47688946003999999</v>
      </c>
      <c r="R101" s="36">
        <f t="shared" si="11"/>
        <v>1.1219180389706363E-2</v>
      </c>
      <c r="S101" s="33">
        <v>3.6786020000000003E-2</v>
      </c>
      <c r="T101" s="36">
        <f t="shared" si="12"/>
        <v>1.3532112674404001E-3</v>
      </c>
      <c r="U101" s="34">
        <v>-1.97616639E-2</v>
      </c>
      <c r="V101" s="36">
        <f t="shared" si="13"/>
        <v>3.9052336009656323E-4</v>
      </c>
      <c r="W101" s="35">
        <v>-6.1397567E-2</v>
      </c>
      <c r="X101" s="36">
        <f t="shared" si="14"/>
        <v>3.769661233519489E-3</v>
      </c>
      <c r="Y101" s="36">
        <v>6.08194928E-2</v>
      </c>
      <c r="Z101" s="36">
        <f t="shared" si="15"/>
        <v>3.6990107044492519E-3</v>
      </c>
    </row>
    <row r="102" spans="1:26">
      <c r="A102" s="5">
        <v>88</v>
      </c>
      <c r="B102" s="6">
        <v>42520.602083275466</v>
      </c>
      <c r="C102" s="6">
        <v>42520.602083275466</v>
      </c>
      <c r="D102" s="7">
        <v>0</v>
      </c>
      <c r="E102" s="8"/>
      <c r="F102" s="8"/>
      <c r="G102" s="9"/>
      <c r="H102">
        <v>1290.0999999999999</v>
      </c>
      <c r="I102">
        <v>369.56400000000002</v>
      </c>
      <c r="J102">
        <v>452.25179999999995</v>
      </c>
      <c r="K102">
        <v>0.110932038</v>
      </c>
      <c r="L102" s="36">
        <f t="shared" si="8"/>
        <v>2.1976838013684438E-4</v>
      </c>
      <c r="M102">
        <v>0.32073587423999994</v>
      </c>
      <c r="N102" s="36">
        <f t="shared" si="9"/>
        <v>4.715178405664237E-3</v>
      </c>
      <c r="O102">
        <v>0.26346405983999999</v>
      </c>
      <c r="P102" s="36">
        <f t="shared" si="10"/>
        <v>2.216162232345828E-2</v>
      </c>
      <c r="Q102">
        <v>0.26856642595000002</v>
      </c>
      <c r="R102" s="36">
        <f t="shared" si="11"/>
        <v>1.0486251850910138E-2</v>
      </c>
      <c r="S102" s="33">
        <v>6.8432383299999996E-2</v>
      </c>
      <c r="T102" s="36">
        <f t="shared" si="12"/>
        <v>4.6829910841181188E-3</v>
      </c>
      <c r="U102" s="34">
        <v>-2.63026092E-2</v>
      </c>
      <c r="V102" s="36">
        <f t="shared" si="13"/>
        <v>6.9182725072792464E-4</v>
      </c>
      <c r="W102" s="35">
        <v>-5.8725719400000001E-2</v>
      </c>
      <c r="X102" s="36">
        <f t="shared" si="14"/>
        <v>3.4487101190475364E-3</v>
      </c>
      <c r="Y102" s="36">
        <v>5.28975473E-2</v>
      </c>
      <c r="Z102" s="36">
        <f t="shared" si="15"/>
        <v>2.7981505103557374E-3</v>
      </c>
    </row>
    <row r="103" spans="1:26">
      <c r="A103" s="5">
        <v>89</v>
      </c>
      <c r="B103" s="6">
        <v>42520.602777719905</v>
      </c>
      <c r="C103" s="6">
        <v>42520.602777719905</v>
      </c>
      <c r="D103" s="7">
        <v>0</v>
      </c>
      <c r="E103" s="8"/>
      <c r="F103" s="8"/>
      <c r="G103" s="9"/>
      <c r="H103">
        <v>1591.68</v>
      </c>
      <c r="I103">
        <v>496.3</v>
      </c>
      <c r="J103">
        <v>232.71600000000001</v>
      </c>
      <c r="K103">
        <v>0.16007507375999999</v>
      </c>
      <c r="L103" s="36">
        <f t="shared" si="8"/>
        <v>1.1777559243290809E-3</v>
      </c>
      <c r="M103">
        <v>0.49373265744</v>
      </c>
      <c r="N103" s="36">
        <f t="shared" si="9"/>
        <v>1.0884670971096324E-2</v>
      </c>
      <c r="O103">
        <v>6.6574109699999995E-2</v>
      </c>
      <c r="P103" s="36">
        <f t="shared" si="10"/>
        <v>2.3061267599974551E-3</v>
      </c>
      <c r="Q103">
        <v>0.26593683955999997</v>
      </c>
      <c r="R103" s="36">
        <f t="shared" si="11"/>
        <v>1.1031718498528808E-2</v>
      </c>
      <c r="S103" s="33">
        <v>2.2549709000000001E-2</v>
      </c>
      <c r="T103" s="36">
        <f t="shared" si="12"/>
        <v>5.084893759846811E-4</v>
      </c>
      <c r="U103" s="34">
        <v>-1.03285875E-2</v>
      </c>
      <c r="V103" s="36">
        <f t="shared" si="13"/>
        <v>1.0667971974515624E-4</v>
      </c>
      <c r="W103" s="35">
        <v>-3.5441497199999998E-2</v>
      </c>
      <c r="X103" s="36">
        <f t="shared" si="14"/>
        <v>1.2560997237776076E-3</v>
      </c>
      <c r="Y103" s="36">
        <v>3.6901694800000003E-2</v>
      </c>
      <c r="Z103" s="36">
        <f t="shared" si="15"/>
        <v>1.3617350791123473E-3</v>
      </c>
    </row>
    <row r="104" spans="1:26">
      <c r="A104" s="5">
        <v>90</v>
      </c>
      <c r="B104" s="6">
        <v>42520.603472164352</v>
      </c>
      <c r="C104" s="6">
        <v>42520.603472164352</v>
      </c>
      <c r="D104" s="7">
        <v>0</v>
      </c>
      <c r="E104" s="8"/>
      <c r="F104" s="8"/>
      <c r="G104" s="9"/>
      <c r="H104">
        <v>1808</v>
      </c>
      <c r="I104">
        <v>301.60000000000002</v>
      </c>
      <c r="J104">
        <v>127.03019999999999</v>
      </c>
      <c r="K104">
        <v>0.14323496304</v>
      </c>
      <c r="L104" s="36">
        <f t="shared" si="8"/>
        <v>3.0549230014971816E-4</v>
      </c>
      <c r="M104">
        <v>0.44108837968000003</v>
      </c>
      <c r="N104" s="36">
        <f t="shared" si="9"/>
        <v>2.6713752770837103E-3</v>
      </c>
      <c r="O104">
        <v>2.7449682720000004E-2</v>
      </c>
      <c r="P104" s="36">
        <f t="shared" si="10"/>
        <v>7.5945256422836685E-3</v>
      </c>
      <c r="Q104">
        <v>0.39727049564</v>
      </c>
      <c r="R104" s="36">
        <f t="shared" si="11"/>
        <v>6.917777449682817E-4</v>
      </c>
      <c r="S104" s="33">
        <v>-2.4532464E-2</v>
      </c>
      <c r="T104" s="36">
        <f t="shared" si="12"/>
        <v>6.0184178991129597E-4</v>
      </c>
      <c r="U104" s="34">
        <v>7.6347466099999997E-3</v>
      </c>
      <c r="V104" s="36">
        <f t="shared" si="13"/>
        <v>5.8289355798906488E-5</v>
      </c>
      <c r="W104" s="35">
        <v>2.2196702799999999E-2</v>
      </c>
      <c r="X104" s="36">
        <f t="shared" si="14"/>
        <v>4.9269361519152781E-4</v>
      </c>
      <c r="Y104" s="36">
        <v>-1.4342507399999999E-2</v>
      </c>
      <c r="Z104" s="36">
        <f t="shared" si="15"/>
        <v>2.0570751851905475E-4</v>
      </c>
    </row>
    <row r="105" spans="1:26">
      <c r="A105" s="5">
        <v>91</v>
      </c>
      <c r="B105" s="6">
        <v>42520.604166608799</v>
      </c>
      <c r="C105" s="6">
        <v>42520.604166608799</v>
      </c>
      <c r="D105" s="7">
        <v>0</v>
      </c>
      <c r="E105" s="8"/>
      <c r="F105" s="8"/>
      <c r="G105" s="9"/>
      <c r="H105">
        <v>1432.6</v>
      </c>
      <c r="I105">
        <v>448.875</v>
      </c>
      <c r="J105">
        <v>315.13020000000006</v>
      </c>
      <c r="K105">
        <v>0.13619464512000001</v>
      </c>
      <c r="L105" s="36">
        <f t="shared" si="8"/>
        <v>1.0895226373242485E-4</v>
      </c>
      <c r="M105">
        <v>0.42501014163999995</v>
      </c>
      <c r="N105" s="36">
        <f t="shared" si="9"/>
        <v>1.2678663342678463E-3</v>
      </c>
      <c r="O105">
        <v>0.16741469723000002</v>
      </c>
      <c r="P105" s="36">
        <f t="shared" si="10"/>
        <v>2.7897874867819448E-3</v>
      </c>
      <c r="Q105">
        <v>0.25667005461999998</v>
      </c>
      <c r="R105" s="36">
        <f t="shared" si="11"/>
        <v>1.3064209490471372E-2</v>
      </c>
      <c r="S105" s="33">
        <v>2.9676505299999999E-2</v>
      </c>
      <c r="T105" s="36">
        <f t="shared" si="12"/>
        <v>8.8069496682092801E-4</v>
      </c>
      <c r="U105" s="34">
        <v>-1.8370504900000001E-2</v>
      </c>
      <c r="V105" s="36">
        <f t="shared" si="13"/>
        <v>3.3747545028092404E-4</v>
      </c>
      <c r="W105" s="35">
        <v>-6.2725243799999997E-2</v>
      </c>
      <c r="X105" s="36">
        <f t="shared" si="14"/>
        <v>3.9344562097694382E-3</v>
      </c>
      <c r="Y105" s="36">
        <v>6.6129704400000003E-2</v>
      </c>
      <c r="Z105" s="36">
        <f t="shared" si="15"/>
        <v>4.3731378040313797E-3</v>
      </c>
    </row>
    <row r="106" spans="1:26">
      <c r="A106" s="5">
        <v>92</v>
      </c>
      <c r="B106" s="6">
        <v>42520.604861053238</v>
      </c>
      <c r="C106" s="6">
        <v>42520.604861053238</v>
      </c>
      <c r="D106" s="7">
        <v>0</v>
      </c>
      <c r="E106" s="10"/>
      <c r="F106" s="10"/>
      <c r="G106" s="11"/>
      <c r="H106">
        <v>1433</v>
      </c>
      <c r="I106">
        <v>330.88799999999998</v>
      </c>
      <c r="J106">
        <v>174.05519999999999</v>
      </c>
      <c r="K106">
        <v>0.12360425400000001</v>
      </c>
      <c r="L106" s="36">
        <f t="shared" si="8"/>
        <v>4.632700982079661E-6</v>
      </c>
      <c r="M106">
        <v>0.38892029106000003</v>
      </c>
      <c r="N106" s="36">
        <f t="shared" si="9"/>
        <v>2.3303776644704525E-7</v>
      </c>
      <c r="O106">
        <v>9.9354698310000003E-2</v>
      </c>
      <c r="P106" s="36">
        <f t="shared" si="10"/>
        <v>2.3230515214657036E-4</v>
      </c>
      <c r="Q106">
        <v>0.42050171204999998</v>
      </c>
      <c r="R106" s="36">
        <f t="shared" si="11"/>
        <v>2.4535066481177667E-3</v>
      </c>
      <c r="S106" s="33">
        <v>2.0301914099999999E-3</v>
      </c>
      <c r="T106" s="36">
        <f t="shared" si="12"/>
        <v>4.1216771612377879E-6</v>
      </c>
      <c r="U106" s="34">
        <v>-9.5899472299999997E-3</v>
      </c>
      <c r="V106" s="36">
        <f t="shared" si="13"/>
        <v>9.1967087874184663E-5</v>
      </c>
      <c r="W106" s="35">
        <v>-3.59641905E-2</v>
      </c>
      <c r="X106" s="36">
        <f t="shared" si="14"/>
        <v>1.2934229983202902E-3</v>
      </c>
      <c r="Y106" s="36">
        <v>1.11429913E-2</v>
      </c>
      <c r="Z106" s="36">
        <f t="shared" si="15"/>
        <v>1.2416625511187571E-4</v>
      </c>
    </row>
    <row r="107" spans="1:26">
      <c r="A107" s="5">
        <v>93</v>
      </c>
      <c r="B107" s="6">
        <v>42520.605555497685</v>
      </c>
      <c r="C107" s="6">
        <v>42520.605555497685</v>
      </c>
      <c r="D107" s="7">
        <v>0</v>
      </c>
      <c r="E107" s="12"/>
      <c r="F107" s="10"/>
      <c r="G107" s="11"/>
      <c r="H107">
        <v>1767.66</v>
      </c>
      <c r="I107">
        <v>475.75699999999995</v>
      </c>
      <c r="J107">
        <v>388.84031999999996</v>
      </c>
      <c r="K107">
        <v>0.19396952706000001</v>
      </c>
      <c r="L107" s="36">
        <f t="shared" si="8"/>
        <v>4.6530000055317313E-3</v>
      </c>
      <c r="M107">
        <v>0.5482150294</v>
      </c>
      <c r="N107" s="36">
        <f t="shared" si="9"/>
        <v>2.5221250863180715E-2</v>
      </c>
      <c r="O107">
        <v>9.4439396499999995E-2</v>
      </c>
      <c r="P107" s="36">
        <f t="shared" si="10"/>
        <v>4.0629907923483402E-4</v>
      </c>
      <c r="Q107">
        <v>0.14385898592000002</v>
      </c>
      <c r="R107" s="36">
        <f t="shared" si="11"/>
        <v>5.1578880159575874E-2</v>
      </c>
      <c r="S107" s="33">
        <v>-7.0036869200000001E-3</v>
      </c>
      <c r="T107" s="36">
        <f t="shared" si="12"/>
        <v>4.9051630473379086E-5</v>
      </c>
      <c r="U107" s="34">
        <v>1.2449896599999999E-3</v>
      </c>
      <c r="V107" s="36">
        <f t="shared" si="13"/>
        <v>1.5499992535069155E-6</v>
      </c>
      <c r="W107" s="35">
        <v>4.38387316E-2</v>
      </c>
      <c r="X107" s="36">
        <f t="shared" si="14"/>
        <v>1.9218343882968386E-3</v>
      </c>
      <c r="Y107" s="36">
        <v>-1.8562973300000001E-2</v>
      </c>
      <c r="Z107" s="36">
        <f t="shared" si="15"/>
        <v>3.4458397773651293E-4</v>
      </c>
    </row>
    <row r="108" spans="1:26">
      <c r="A108" s="5">
        <v>94</v>
      </c>
      <c r="B108" s="6">
        <v>42520.606249942131</v>
      </c>
      <c r="C108" s="6">
        <v>42520.606249942131</v>
      </c>
      <c r="D108" s="7">
        <v>0</v>
      </c>
      <c r="E108" s="8"/>
      <c r="F108" s="8"/>
      <c r="G108" s="9"/>
      <c r="H108">
        <v>1630.49</v>
      </c>
      <c r="I108">
        <v>389.26799999999997</v>
      </c>
      <c r="J108">
        <v>285.03815999999995</v>
      </c>
      <c r="K108">
        <v>0.16463295210000001</v>
      </c>
      <c r="L108" s="36">
        <f t="shared" si="8"/>
        <v>1.5113688076945455E-3</v>
      </c>
      <c r="M108">
        <v>0.51698493839999993</v>
      </c>
      <c r="N108" s="36">
        <f t="shared" si="9"/>
        <v>1.6277143117817215E-2</v>
      </c>
      <c r="O108">
        <v>9.7030259149999992E-2</v>
      </c>
      <c r="P108" s="36">
        <f t="shared" si="10"/>
        <v>3.0856432754132549E-4</v>
      </c>
      <c r="Q108">
        <v>0.25850721015</v>
      </c>
      <c r="R108" s="36">
        <f t="shared" si="11"/>
        <v>1.2647615385437174E-2</v>
      </c>
      <c r="S108" s="33">
        <v>-1.4594064E-2</v>
      </c>
      <c r="T108" s="36">
        <f t="shared" si="12"/>
        <v>2.1298670403609602E-4</v>
      </c>
      <c r="U108" s="34">
        <v>7.3901207900000003E-3</v>
      </c>
      <c r="V108" s="36">
        <f t="shared" si="13"/>
        <v>5.4613885290790227E-5</v>
      </c>
      <c r="W108" s="35">
        <v>6.9567232299999997E-3</v>
      </c>
      <c r="X108" s="36">
        <f t="shared" si="14"/>
        <v>4.839599809882163E-5</v>
      </c>
      <c r="Y108" s="36">
        <v>-3.6908139E-2</v>
      </c>
      <c r="Z108" s="36">
        <f t="shared" si="15"/>
        <v>1.3622107244433211E-3</v>
      </c>
    </row>
    <row r="109" spans="1:26">
      <c r="A109" s="5">
        <v>95</v>
      </c>
      <c r="B109" s="6">
        <v>42520.606944386571</v>
      </c>
      <c r="C109" s="6">
        <v>42520.606944386571</v>
      </c>
      <c r="D109" s="7">
        <v>0</v>
      </c>
      <c r="E109" s="8"/>
      <c r="F109" s="8"/>
      <c r="G109" s="9"/>
      <c r="H109">
        <v>1283</v>
      </c>
      <c r="I109">
        <v>551.928</v>
      </c>
      <c r="J109">
        <v>83.373840000000001</v>
      </c>
      <c r="K109">
        <v>4.9705162994000004E-2</v>
      </c>
      <c r="L109" s="36">
        <f t="shared" si="8"/>
        <v>5.7838248753855903E-3</v>
      </c>
      <c r="M109">
        <v>0.15649492501999998</v>
      </c>
      <c r="N109" s="36">
        <f t="shared" si="9"/>
        <v>5.4246185791037675E-2</v>
      </c>
      <c r="O109">
        <v>9.2602468014000017E-2</v>
      </c>
      <c r="P109" s="36">
        <f t="shared" si="10"/>
        <v>4.8372681290185252E-4</v>
      </c>
      <c r="Q109">
        <v>0.70453716246999987</v>
      </c>
      <c r="R109" s="36">
        <f t="shared" si="11"/>
        <v>0.11126783406956706</v>
      </c>
      <c r="S109" s="33">
        <v>1.1967818099999999E-2</v>
      </c>
      <c r="T109" s="36">
        <f t="shared" si="12"/>
        <v>1.432286700746876E-4</v>
      </c>
      <c r="U109" s="34">
        <v>-1.0232298500000001E-2</v>
      </c>
      <c r="V109" s="36">
        <f t="shared" si="13"/>
        <v>1.0469993259310227E-4</v>
      </c>
      <c r="W109" s="35">
        <v>-2.2840819299999999E-2</v>
      </c>
      <c r="X109" s="36">
        <f t="shared" si="14"/>
        <v>5.2170302629525242E-4</v>
      </c>
      <c r="Y109" s="36">
        <v>1.7765581700000001E-2</v>
      </c>
      <c r="Z109" s="36">
        <f t="shared" si="15"/>
        <v>3.1561589313937495E-4</v>
      </c>
    </row>
    <row r="110" spans="1:26">
      <c r="A110" s="5">
        <v>96</v>
      </c>
      <c r="B110" s="6">
        <v>42520.607638831018</v>
      </c>
      <c r="C110" s="6">
        <v>42520.607638831018</v>
      </c>
      <c r="D110" s="7">
        <v>0</v>
      </c>
      <c r="E110" s="8"/>
      <c r="F110" s="8"/>
      <c r="G110" s="9"/>
      <c r="H110">
        <v>1273</v>
      </c>
      <c r="I110">
        <v>320.84500000000003</v>
      </c>
      <c r="J110">
        <v>432.75539999999995</v>
      </c>
      <c r="K110">
        <v>9.3273672336000008E-2</v>
      </c>
      <c r="L110" s="36">
        <f t="shared" si="8"/>
        <v>1.0551422146837875E-3</v>
      </c>
      <c r="M110">
        <v>0.29131887015000002</v>
      </c>
      <c r="N110" s="36">
        <f t="shared" si="9"/>
        <v>9.6205025927390067E-3</v>
      </c>
      <c r="O110">
        <v>0.31528620031999999</v>
      </c>
      <c r="P110" s="36">
        <f t="shared" si="10"/>
        <v>4.0276452811955819E-2</v>
      </c>
      <c r="Q110">
        <v>0.34289572304000004</v>
      </c>
      <c r="R110" s="36">
        <f t="shared" si="11"/>
        <v>7.8809919613372591E-4</v>
      </c>
      <c r="S110" s="33">
        <v>1.06057644E-2</v>
      </c>
      <c r="T110" s="36">
        <f t="shared" si="12"/>
        <v>1.1248223850830737E-4</v>
      </c>
      <c r="U110" s="34">
        <v>-1.02327723E-2</v>
      </c>
      <c r="V110" s="36">
        <f t="shared" si="13"/>
        <v>1.0470962894364729E-4</v>
      </c>
      <c r="W110" s="35">
        <v>-3.3863125000000001E-2</v>
      </c>
      <c r="X110" s="36">
        <f t="shared" si="14"/>
        <v>1.146711234765625E-3</v>
      </c>
      <c r="Y110" s="36">
        <v>-9.2843322200000002E-3</v>
      </c>
      <c r="Z110" s="36">
        <f t="shared" si="15"/>
        <v>8.6198824771330134E-5</v>
      </c>
    </row>
    <row r="111" spans="1:26">
      <c r="A111" s="5">
        <v>97</v>
      </c>
      <c r="B111" s="6">
        <v>42520.608333275464</v>
      </c>
      <c r="C111" s="6">
        <v>42520.608333275464</v>
      </c>
      <c r="D111" s="7">
        <v>0</v>
      </c>
      <c r="E111" s="8"/>
      <c r="F111" s="8"/>
      <c r="G111" s="9"/>
      <c r="H111">
        <v>1651.65</v>
      </c>
      <c r="I111">
        <v>431.04</v>
      </c>
      <c r="J111">
        <v>218.43096</v>
      </c>
      <c r="K111">
        <v>0.1550676456</v>
      </c>
      <c r="L111" s="36">
        <f t="shared" si="8"/>
        <v>8.59135927790569E-4</v>
      </c>
      <c r="M111">
        <v>0.43430759616000003</v>
      </c>
      <c r="N111" s="36">
        <f t="shared" si="9"/>
        <v>2.0164199799502141E-3</v>
      </c>
      <c r="O111">
        <v>7.9929793700000001E-2</v>
      </c>
      <c r="P111" s="36">
        <f t="shared" si="10"/>
        <v>1.2017637706329058E-3</v>
      </c>
      <c r="Q111">
        <v>0.31678315812000002</v>
      </c>
      <c r="R111" s="36">
        <f t="shared" si="11"/>
        <v>2.9360867702345091E-3</v>
      </c>
      <c r="S111" s="33">
        <v>-2.5336819999999999E-2</v>
      </c>
      <c r="T111" s="36">
        <f t="shared" si="12"/>
        <v>6.4195444771239995E-4</v>
      </c>
      <c r="U111" s="34">
        <v>9.5906753899999992E-3</v>
      </c>
      <c r="V111" s="36">
        <f t="shared" si="13"/>
        <v>9.1981054436351639E-5</v>
      </c>
      <c r="W111" s="35">
        <v>6.8518977199999997E-2</v>
      </c>
      <c r="X111" s="36">
        <f t="shared" si="14"/>
        <v>4.6948502365341191E-3</v>
      </c>
      <c r="Y111" s="36">
        <v>-3.8861026700000002E-2</v>
      </c>
      <c r="Z111" s="36">
        <f t="shared" si="15"/>
        <v>1.5101793961781131E-3</v>
      </c>
    </row>
    <row r="112" spans="1:26">
      <c r="A112" s="5">
        <v>98</v>
      </c>
      <c r="B112" s="6">
        <v>42520.609027719911</v>
      </c>
      <c r="C112" s="6">
        <v>42520.609027719911</v>
      </c>
      <c r="D112" s="7">
        <v>0</v>
      </c>
      <c r="E112" s="10"/>
      <c r="F112" s="10"/>
      <c r="G112" s="11"/>
      <c r="H112">
        <v>1705.77</v>
      </c>
      <c r="I112">
        <v>387.90600000000001</v>
      </c>
      <c r="J112">
        <v>118.60243999999999</v>
      </c>
      <c r="K112">
        <v>0.10538223738000001</v>
      </c>
      <c r="L112" s="36">
        <f t="shared" si="8"/>
        <v>4.1511567146212302E-4</v>
      </c>
      <c r="M112">
        <v>0.30943458528000001</v>
      </c>
      <c r="N112" s="36">
        <f t="shared" si="9"/>
        <v>6.3949522970860638E-3</v>
      </c>
      <c r="O112">
        <v>5.9262291359999997E-2</v>
      </c>
      <c r="P112" s="36">
        <f t="shared" si="10"/>
        <v>3.061847901738201E-3</v>
      </c>
      <c r="Q112">
        <v>0.51568085200000002</v>
      </c>
      <c r="R112" s="36">
        <f t="shared" si="11"/>
        <v>2.0941570024003382E-2</v>
      </c>
      <c r="S112" s="33">
        <v>-4.9603714799999997E-2</v>
      </c>
      <c r="T112" s="36">
        <f t="shared" si="12"/>
        <v>2.4605285219597389E-3</v>
      </c>
      <c r="U112" s="34">
        <v>3.5034850800000003E-2</v>
      </c>
      <c r="V112" s="36">
        <f t="shared" si="13"/>
        <v>1.2274407705782609E-3</v>
      </c>
      <c r="W112" s="35">
        <v>0.122975309</v>
      </c>
      <c r="X112" s="36">
        <f t="shared" si="14"/>
        <v>1.5122926623645483E-2</v>
      </c>
      <c r="Y112" s="36">
        <v>-9.8166409999999996E-2</v>
      </c>
      <c r="Z112" s="36">
        <f t="shared" si="15"/>
        <v>9.636644052288099E-3</v>
      </c>
    </row>
    <row r="113" spans="1:26">
      <c r="A113" s="5">
        <v>99</v>
      </c>
      <c r="B113" s="6">
        <v>42520.60972216435</v>
      </c>
      <c r="C113" s="6">
        <v>42520.60972216435</v>
      </c>
      <c r="D113" s="7">
        <v>0</v>
      </c>
      <c r="E113" s="12"/>
      <c r="F113" s="10"/>
      <c r="G113" s="11"/>
      <c r="H113">
        <v>1408.77</v>
      </c>
      <c r="I113">
        <v>528.15599999999995</v>
      </c>
      <c r="J113">
        <v>303.75355999999994</v>
      </c>
      <c r="K113">
        <v>0.11294699597999999</v>
      </c>
      <c r="L113" s="36">
        <f t="shared" si="8"/>
        <v>1.640865959897215E-4</v>
      </c>
      <c r="M113">
        <v>0.34801239342000001</v>
      </c>
      <c r="N113" s="36">
        <f t="shared" si="9"/>
        <v>1.7131848721431814E-3</v>
      </c>
      <c r="O113">
        <v>0.21550973970999998</v>
      </c>
      <c r="P113" s="36">
        <f t="shared" si="10"/>
        <v>1.0183530722223418E-2</v>
      </c>
      <c r="Q113">
        <v>0.32529242304</v>
      </c>
      <c r="R113" s="36">
        <f t="shared" si="11"/>
        <v>2.0863339278292831E-3</v>
      </c>
      <c r="S113" s="33">
        <v>-4.1755814299999997E-4</v>
      </c>
      <c r="T113" s="36">
        <f t="shared" si="12"/>
        <v>1.7435480278560842E-7</v>
      </c>
      <c r="U113" s="34">
        <v>-8.8456344700000005E-3</v>
      </c>
      <c r="V113" s="36">
        <f t="shared" si="13"/>
        <v>7.8245249176852187E-5</v>
      </c>
      <c r="W113" s="35">
        <v>-2.6441568499999998E-2</v>
      </c>
      <c r="X113" s="36">
        <f t="shared" si="14"/>
        <v>6.9915654474019212E-4</v>
      </c>
      <c r="Y113" s="36">
        <v>3.3943209100000003E-2</v>
      </c>
      <c r="Z113" s="36">
        <f t="shared" si="15"/>
        <v>1.152141444006323E-3</v>
      </c>
    </row>
    <row r="114" spans="1:26">
      <c r="A114" s="5">
        <v>100</v>
      </c>
      <c r="B114" s="6">
        <v>42520.610416608797</v>
      </c>
      <c r="C114" s="6">
        <v>42520.610416608797</v>
      </c>
      <c r="D114" s="7">
        <v>0</v>
      </c>
      <c r="E114" s="8"/>
      <c r="F114" s="8"/>
      <c r="G114" s="9"/>
      <c r="H114">
        <v>1527.96</v>
      </c>
      <c r="I114">
        <v>338.98199999999997</v>
      </c>
      <c r="J114">
        <v>161.35504</v>
      </c>
      <c r="K114">
        <v>0.13171280859000001</v>
      </c>
      <c r="L114" s="36">
        <f t="shared" si="8"/>
        <v>3.5476122790535393E-5</v>
      </c>
      <c r="M114">
        <v>0.40965781899999998</v>
      </c>
      <c r="N114" s="36">
        <f t="shared" si="9"/>
        <v>4.1025644041685881E-4</v>
      </c>
      <c r="O114">
        <v>6.457679430100001E-2</v>
      </c>
      <c r="P114" s="36">
        <f t="shared" si="10"/>
        <v>2.5019467827438148E-3</v>
      </c>
      <c r="Q114">
        <v>0.41302959494999997</v>
      </c>
      <c r="R114" s="36">
        <f t="shared" si="11"/>
        <v>1.7691081553191693E-3</v>
      </c>
      <c r="S114" s="33">
        <v>-7.62186659E-3</v>
      </c>
      <c r="T114" s="36">
        <f t="shared" si="12"/>
        <v>5.8092850315758227E-5</v>
      </c>
      <c r="U114" s="34">
        <v>2.5203386200000001E-3</v>
      </c>
      <c r="V114" s="36">
        <f t="shared" si="13"/>
        <v>6.3521067594635051E-6</v>
      </c>
      <c r="W114" s="35">
        <v>7.4224920699999999E-3</v>
      </c>
      <c r="X114" s="36">
        <f t="shared" si="14"/>
        <v>5.5093388529212881E-5</v>
      </c>
      <c r="Y114" s="47">
        <v>-2.2585172099999998E-2</v>
      </c>
      <c r="Z114" s="36">
        <f t="shared" si="15"/>
        <v>5.1008999878661833E-4</v>
      </c>
    </row>
    <row r="115" spans="1:26">
      <c r="K115" s="36" t="s">
        <v>51</v>
      </c>
      <c r="L115" s="36" t="s">
        <v>50</v>
      </c>
      <c r="M115" s="36" t="s">
        <v>51</v>
      </c>
      <c r="N115" s="36" t="s">
        <v>50</v>
      </c>
      <c r="O115" s="36" t="s">
        <v>51</v>
      </c>
      <c r="P115" s="36" t="s">
        <v>50</v>
      </c>
      <c r="Q115" s="36" t="s">
        <v>51</v>
      </c>
      <c r="R115" s="36" t="s">
        <v>50</v>
      </c>
      <c r="T115" t="s">
        <v>52</v>
      </c>
      <c r="V115" s="36" t="s">
        <v>52</v>
      </c>
      <c r="X115" s="36" t="s">
        <v>52</v>
      </c>
      <c r="Z115" s="36" t="s">
        <v>52</v>
      </c>
    </row>
    <row r="116" spans="1:26">
      <c r="K116">
        <f>AVERAGE(K15:K114)</f>
        <v>0.12575662501404003</v>
      </c>
      <c r="L116" s="36">
        <f>SUM(L15:L114)</f>
        <v>0.21741112502508037</v>
      </c>
      <c r="M116" s="36">
        <f>AVERAGE(M15:M114)</f>
        <v>0.38940303091380024</v>
      </c>
      <c r="N116" s="36">
        <f>SUM(N15:N114)</f>
        <v>1.9038377528693993</v>
      </c>
      <c r="O116" s="36">
        <f>AVERAGE(O15:O114)</f>
        <v>0.11459625833995003</v>
      </c>
      <c r="P116" s="36">
        <f>SUM(P15:P114)</f>
        <v>0.55383704086649466</v>
      </c>
      <c r="Q116" s="36">
        <f>AVERAGE(Q15:Q114)</f>
        <v>0.37096882753760996</v>
      </c>
      <c r="R116" s="36">
        <f>SUM(R15:R114)</f>
        <v>3.1277569257995155</v>
      </c>
      <c r="T116" s="36">
        <f>SUM(T15:T114)</f>
        <v>7.3680028109831888E-2</v>
      </c>
      <c r="V116" s="36">
        <f>SUM(V15:V114)</f>
        <v>3.3907917361006255E-2</v>
      </c>
      <c r="X116" s="36">
        <f>SUM(X15:X114)</f>
        <v>0.30743664118700925</v>
      </c>
      <c r="Z116" s="36">
        <f>SUM(Z15:Z114)</f>
        <v>0.23278928258000536</v>
      </c>
    </row>
    <row r="117" spans="1:26">
      <c r="J117" s="46" t="s">
        <v>53</v>
      </c>
      <c r="K117" s="46" t="s">
        <v>39</v>
      </c>
      <c r="L117" s="46">
        <f>1-V116/L116</f>
        <v>0.84403780001094852</v>
      </c>
      <c r="M117" s="46" t="s">
        <v>40</v>
      </c>
      <c r="N117" s="46">
        <f>1-X116/N116</f>
        <v>0.83851741529778401</v>
      </c>
      <c r="O117" s="46" t="s">
        <v>42</v>
      </c>
      <c r="P117" s="46">
        <f>1-T116/P116</f>
        <v>0.86696442694667497</v>
      </c>
      <c r="Q117" s="46" t="s">
        <v>41</v>
      </c>
      <c r="R117" s="46">
        <f>1-Z116/R116</f>
        <v>0.92557309020409251</v>
      </c>
    </row>
  </sheetData>
  <autoFilter ref="A3:Q114" xr:uid="{02D952F3-9977-4F6F-BB8A-758C96B59170}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7" showButton="0"/>
    <filterColumn colId="8" showButton="0"/>
    <filterColumn colId="9" showButton="0"/>
    <filterColumn colId="10" showButton="0"/>
    <filterColumn colId="12" showButton="0"/>
    <filterColumn colId="16" showButton="0"/>
  </autoFilter>
  <mergeCells count="15">
    <mergeCell ref="S13:T13"/>
    <mergeCell ref="U13:V13"/>
    <mergeCell ref="W13:X13"/>
    <mergeCell ref="Y13:Z13"/>
    <mergeCell ref="A8:G8"/>
    <mergeCell ref="A9:G9"/>
    <mergeCell ref="A10:G10"/>
    <mergeCell ref="A11:G11"/>
    <mergeCell ref="A12:G12"/>
    <mergeCell ref="A3:G3"/>
    <mergeCell ref="A4:G4"/>
    <mergeCell ref="A5:G5"/>
    <mergeCell ref="A6:G6"/>
    <mergeCell ref="A7:G7"/>
    <mergeCell ref="A13:G13"/>
  </mergeCells>
  <phoneticPr fontId="23" type="noConversion"/>
  <pageMargins left="0.7" right="0.7" top="0.75" bottom="0.75" header="0.3" footer="0.3"/>
  <pageSetup orientation="portrait" r:id="rId1"/>
  <ignoredErrors>
    <ignoredError sqref="L116 M116:Q116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BFCA8931DB454C8FF49CEB2222E2C2" ma:contentTypeVersion="12" ma:contentTypeDescription="Create a new document." ma:contentTypeScope="" ma:versionID="eea00b8cda3447b4ed267a788f8f74d5">
  <xsd:schema xmlns:xsd="http://www.w3.org/2001/XMLSchema" xmlns:xs="http://www.w3.org/2001/XMLSchema" xmlns:p="http://schemas.microsoft.com/office/2006/metadata/properties" xmlns:ns2="55c7c723-669e-4ebf-9074-0d5e12e3a70b" xmlns:ns3="93e833dd-e514-482c-a0c5-23c43ed84765" targetNamespace="http://schemas.microsoft.com/office/2006/metadata/properties" ma:root="true" ma:fieldsID="f11ba5e2c7e12eebeb1c8b9a2cd335da" ns2:_="" ns3:_="">
    <xsd:import namespace="55c7c723-669e-4ebf-9074-0d5e12e3a70b"/>
    <xsd:import namespace="93e833dd-e514-482c-a0c5-23c43ed8476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c7c723-669e-4ebf-9074-0d5e12e3a7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1" nillable="true" ma:displayName="Location" ma:internalName="MediaServiceLocatio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e833dd-e514-482c-a0c5-23c43ed84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DB5B6D-D852-4511-A2D3-7E72FC567DE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25126C7-9186-4384-A408-49C159231F3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5c7c723-669e-4ebf-9074-0d5e12e3a70b"/>
    <ds:schemaRef ds:uri="93e833dd-e514-482c-a0c5-23c43ed84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D87F40B-FBE8-4F85-BDAE-544DC18937A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Conv_PlantData_Historian_Outlet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Herrera, Cesar</dc:creator>
  <cp:lastModifiedBy>Liang, Chao</cp:lastModifiedBy>
  <dcterms:created xsi:type="dcterms:W3CDTF">2020-12-09T22:56:18Z</dcterms:created>
  <dcterms:modified xsi:type="dcterms:W3CDTF">2021-12-07T06:26:36Z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0x0101005ABFCA8931DB454C8FF49CEB2222E2C2</vt:lpwstr>
  </property>
</Properties>
</file>