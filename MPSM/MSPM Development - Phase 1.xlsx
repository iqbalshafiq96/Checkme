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embeddings/oleObject2.bin" ContentType="application/vnd.openxmlformats-officedocument.oleObject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sf-my.sharepoint.com/personal/mohdshmu_basfad_basf_net/Documents/Iqbal/Process Monitoring Training (MPSM and ANN) UMP/General_Iqbal/"/>
    </mc:Choice>
  </mc:AlternateContent>
  <xr:revisionPtr revIDLastSave="217" documentId="13_ncr:1_{E0475BE1-0988-41EE-AA80-7CE6E8D8B9D4}" xr6:coauthVersionLast="47" xr6:coauthVersionMax="47" xr10:uidLastSave="{4CFA247B-BD2F-46BF-9273-D4EA0E824085}"/>
  <bookViews>
    <workbookView xWindow="-120" yWindow="-120" windowWidth="29040" windowHeight="15840" tabRatio="770" xr2:uid="{E06990A0-6BFF-49A0-B477-7D4ABD037907}"/>
  </bookViews>
  <sheets>
    <sheet name="Guide" sheetId="12" r:id="rId1"/>
    <sheet name="Step 1 - NOC6 - X &amp; X̆" sheetId="9" r:id="rId2"/>
    <sheet name="Step 1 - Cmxm" sheetId="1" r:id="rId3"/>
    <sheet name="Step 2 - Eiegenvalues" sheetId="2" r:id="rId4"/>
    <sheet name="Step 2 - Eiegenvectors" sheetId="3" r:id="rId5"/>
    <sheet name="Step 2 - P=X̆V" sheetId="6" r:id="rId6"/>
    <sheet name="Step 3 - T2" sheetId="7" r:id="rId7"/>
    <sheet name="Step 3 - SPE" sheetId="8" r:id="rId8"/>
    <sheet name="Step 4 - T2" sheetId="10" r:id="rId9"/>
    <sheet name="Step 4 - SPE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8" l="1" a="1"/>
  <c r="A3" i="8" s="1"/>
  <c r="A36" i="8" s="1" a="1"/>
  <c r="A36" i="8" s="1"/>
  <c r="E13" i="11"/>
  <c r="E8" i="11"/>
  <c r="E7" i="11"/>
  <c r="F10" i="10"/>
  <c r="F9" i="10"/>
  <c r="Q4" i="2"/>
  <c r="E9" i="11" l="1"/>
  <c r="J4" i="10"/>
  <c r="K6" i="10"/>
  <c r="E10" i="11" l="1"/>
  <c r="E14" i="11" s="1"/>
  <c r="K4" i="10"/>
  <c r="J32" i="10"/>
  <c r="J30" i="10"/>
  <c r="J28" i="10"/>
  <c r="J26" i="10"/>
  <c r="J24" i="10"/>
  <c r="J22" i="10"/>
  <c r="J20" i="10"/>
  <c r="J18" i="10"/>
  <c r="J16" i="10"/>
  <c r="J14" i="10"/>
  <c r="J12" i="10"/>
  <c r="J10" i="10"/>
  <c r="J8" i="10"/>
  <c r="J6" i="10"/>
  <c r="K33" i="10"/>
  <c r="K31" i="10"/>
  <c r="K29" i="10"/>
  <c r="K27" i="10"/>
  <c r="K25" i="10"/>
  <c r="K23" i="10"/>
  <c r="K21" i="10"/>
  <c r="K19" i="10"/>
  <c r="K17" i="10"/>
  <c r="K15" i="10"/>
  <c r="K13" i="10"/>
  <c r="K11" i="10"/>
  <c r="K9" i="10"/>
  <c r="K7" i="10"/>
  <c r="K5" i="10"/>
  <c r="J33" i="10"/>
  <c r="J31" i="10"/>
  <c r="J29" i="10"/>
  <c r="J27" i="10"/>
  <c r="J25" i="10"/>
  <c r="J23" i="10"/>
  <c r="J21" i="10"/>
  <c r="J19" i="10"/>
  <c r="J17" i="10"/>
  <c r="J15" i="10"/>
  <c r="J13" i="10"/>
  <c r="J11" i="10"/>
  <c r="J9" i="10"/>
  <c r="J7" i="10"/>
  <c r="J5" i="10"/>
  <c r="K32" i="10"/>
  <c r="K30" i="10"/>
  <c r="K28" i="10"/>
  <c r="K26" i="10"/>
  <c r="K24" i="10"/>
  <c r="K22" i="10"/>
  <c r="K20" i="10"/>
  <c r="K18" i="10"/>
  <c r="K16" i="10"/>
  <c r="K14" i="10"/>
  <c r="K12" i="10"/>
  <c r="K10" i="10"/>
  <c r="K8" i="10"/>
  <c r="N35" i="9" l="1"/>
  <c r="M35" i="9"/>
  <c r="L35" i="9"/>
  <c r="K35" i="9"/>
  <c r="Z10" i="9" s="1"/>
  <c r="J35" i="9"/>
  <c r="I35" i="9"/>
  <c r="H35" i="9"/>
  <c r="G35" i="9"/>
  <c r="V3" i="9" s="1"/>
  <c r="F35" i="9"/>
  <c r="E35" i="9"/>
  <c r="D35" i="9"/>
  <c r="C35" i="9"/>
  <c r="R30" i="9" s="1"/>
  <c r="B35" i="9"/>
  <c r="N34" i="9"/>
  <c r="M34" i="9"/>
  <c r="AB24" i="9" s="1"/>
  <c r="L34" i="9"/>
  <c r="K34" i="9"/>
  <c r="J34" i="9"/>
  <c r="I34" i="9"/>
  <c r="X29" i="9" s="1"/>
  <c r="H34" i="9"/>
  <c r="W18" i="9" s="1"/>
  <c r="G34" i="9"/>
  <c r="F34" i="9"/>
  <c r="E34" i="9"/>
  <c r="T29" i="9" s="1"/>
  <c r="D34" i="9"/>
  <c r="S31" i="9" s="1"/>
  <c r="C34" i="9"/>
  <c r="B34" i="9"/>
  <c r="Q3" i="9" s="1"/>
  <c r="AB32" i="9"/>
  <c r="T31" i="9"/>
  <c r="AB30" i="9"/>
  <c r="T30" i="9"/>
  <c r="S30" i="9"/>
  <c r="AB29" i="9"/>
  <c r="Y29" i="9"/>
  <c r="Q29" i="9"/>
  <c r="X28" i="9"/>
  <c r="Q28" i="9"/>
  <c r="T26" i="9"/>
  <c r="AC25" i="9"/>
  <c r="Q25" i="9"/>
  <c r="Y23" i="9"/>
  <c r="S22" i="9"/>
  <c r="Q22" i="9"/>
  <c r="T21" i="9"/>
  <c r="X20" i="9"/>
  <c r="T20" i="9"/>
  <c r="AC19" i="9"/>
  <c r="T19" i="9"/>
  <c r="Y18" i="9"/>
  <c r="T18" i="9"/>
  <c r="X17" i="9"/>
  <c r="T17" i="9"/>
  <c r="AB16" i="9"/>
  <c r="T16" i="9"/>
  <c r="T15" i="9"/>
  <c r="AB14" i="9"/>
  <c r="Q14" i="9"/>
  <c r="T13" i="9"/>
  <c r="X12" i="9"/>
  <c r="T12" i="9"/>
  <c r="AC11" i="9"/>
  <c r="T11" i="9"/>
  <c r="T10" i="9"/>
  <c r="Y9" i="9"/>
  <c r="T9" i="9"/>
  <c r="AB8" i="9"/>
  <c r="T8" i="9"/>
  <c r="AB7" i="9"/>
  <c r="Y7" i="9"/>
  <c r="W7" i="9"/>
  <c r="T7" i="9"/>
  <c r="Q7" i="9"/>
  <c r="Y6" i="9"/>
  <c r="T6" i="9"/>
  <c r="AB5" i="9"/>
  <c r="Y5" i="9"/>
  <c r="Q5" i="9"/>
  <c r="Y4" i="9"/>
  <c r="X4" i="9"/>
  <c r="T4" i="9"/>
  <c r="AC3" i="9"/>
  <c r="Z3" i="9"/>
  <c r="R10" i="9" l="1"/>
  <c r="R21" i="9"/>
  <c r="S29" i="9"/>
  <c r="S32" i="9"/>
  <c r="S9" i="9"/>
  <c r="V14" i="9"/>
  <c r="S18" i="9"/>
  <c r="S28" i="9"/>
  <c r="S8" i="9"/>
  <c r="Z12" i="9"/>
  <c r="S17" i="9"/>
  <c r="Q32" i="9"/>
  <c r="R6" i="9"/>
  <c r="S10" i="9"/>
  <c r="Z15" i="9"/>
  <c r="S21" i="9"/>
  <c r="V22" i="9"/>
  <c r="S24" i="9"/>
  <c r="V28" i="9"/>
  <c r="AA14" i="9"/>
  <c r="S3" i="9"/>
  <c r="S5" i="9"/>
  <c r="S6" i="9"/>
  <c r="S7" i="9"/>
  <c r="Z8" i="9"/>
  <c r="W9" i="9"/>
  <c r="R15" i="9"/>
  <c r="S23" i="9"/>
  <c r="S27" i="9"/>
  <c r="R8" i="9"/>
  <c r="S14" i="9"/>
  <c r="S15" i="9"/>
  <c r="R18" i="9"/>
  <c r="S19" i="9"/>
  <c r="W23" i="9"/>
  <c r="S25" i="9"/>
  <c r="R32" i="9"/>
  <c r="V23" i="9"/>
  <c r="Z19" i="9"/>
  <c r="Y15" i="9"/>
  <c r="AC20" i="9"/>
  <c r="R3" i="9"/>
  <c r="Y3" i="9"/>
  <c r="Q4" i="9"/>
  <c r="R5" i="9"/>
  <c r="Z5" i="9"/>
  <c r="Z6" i="9"/>
  <c r="Z7" i="9"/>
  <c r="Z9" i="9"/>
  <c r="Q11" i="9"/>
  <c r="V11" i="9"/>
  <c r="Q12" i="9"/>
  <c r="V12" i="9"/>
  <c r="Q13" i="9"/>
  <c r="Y13" i="9"/>
  <c r="R14" i="9"/>
  <c r="Q16" i="9"/>
  <c r="Y17" i="9"/>
  <c r="Z18" i="9"/>
  <c r="Q20" i="9"/>
  <c r="R22" i="9"/>
  <c r="Y22" i="9"/>
  <c r="T23" i="9"/>
  <c r="Z23" i="9"/>
  <c r="T24" i="9"/>
  <c r="R25" i="9"/>
  <c r="Q26" i="9"/>
  <c r="Z26" i="9"/>
  <c r="T27" i="9"/>
  <c r="R28" i="9"/>
  <c r="R29" i="9"/>
  <c r="Z29" i="9"/>
  <c r="Q31" i="9"/>
  <c r="Y31" i="9"/>
  <c r="T32" i="9"/>
  <c r="AA30" i="9"/>
  <c r="R4" i="9"/>
  <c r="Q9" i="9"/>
  <c r="AC9" i="9"/>
  <c r="R11" i="9"/>
  <c r="Y11" i="9"/>
  <c r="R12" i="9"/>
  <c r="R13" i="9"/>
  <c r="Z13" i="9"/>
  <c r="AC14" i="9"/>
  <c r="R16" i="9"/>
  <c r="Q17" i="9"/>
  <c r="V17" i="9"/>
  <c r="Z17" i="9"/>
  <c r="Q19" i="9"/>
  <c r="V19" i="9"/>
  <c r="R20" i="9"/>
  <c r="Y20" i="9"/>
  <c r="Q23" i="9"/>
  <c r="Q24" i="9"/>
  <c r="Z24" i="9"/>
  <c r="R26" i="9"/>
  <c r="Q27" i="9"/>
  <c r="V27" i="9"/>
  <c r="Y28" i="9"/>
  <c r="R31" i="9"/>
  <c r="Z31" i="9"/>
  <c r="T3" i="9"/>
  <c r="AB3" i="9"/>
  <c r="S4" i="9"/>
  <c r="Z4" i="9"/>
  <c r="T5" i="9"/>
  <c r="Q6" i="9"/>
  <c r="V6" i="9"/>
  <c r="R7" i="9"/>
  <c r="X7" i="9"/>
  <c r="Q8" i="9"/>
  <c r="Y8" i="9"/>
  <c r="R9" i="9"/>
  <c r="X9" i="9"/>
  <c r="Q10" i="9"/>
  <c r="Y10" i="9"/>
  <c r="S11" i="9"/>
  <c r="Z11" i="9"/>
  <c r="S12" i="9"/>
  <c r="Y12" i="9"/>
  <c r="S13" i="9"/>
  <c r="AB13" i="9"/>
  <c r="T14" i="9"/>
  <c r="T35" i="9" s="1"/>
  <c r="Q15" i="9"/>
  <c r="S16" i="9"/>
  <c r="R17" i="9"/>
  <c r="W17" i="9"/>
  <c r="Q18" i="9"/>
  <c r="X18" i="9"/>
  <c r="R19" i="9"/>
  <c r="AB19" i="9"/>
  <c r="S20" i="9"/>
  <c r="Q21" i="9"/>
  <c r="AB21" i="9"/>
  <c r="T22" i="9"/>
  <c r="R23" i="9"/>
  <c r="X23" i="9"/>
  <c r="R24" i="9"/>
  <c r="T25" i="9"/>
  <c r="S26" i="9"/>
  <c r="R27" i="9"/>
  <c r="AC27" i="9"/>
  <c r="T28" i="9"/>
  <c r="Z28" i="9"/>
  <c r="Q30" i="9"/>
  <c r="V30" i="9"/>
  <c r="U28" i="9"/>
  <c r="Y24" i="9"/>
  <c r="AB25" i="9"/>
  <c r="U6" i="9"/>
  <c r="AA8" i="9"/>
  <c r="W12" i="9"/>
  <c r="U22" i="9"/>
  <c r="AA24" i="9"/>
  <c r="W28" i="9"/>
  <c r="AC30" i="9"/>
  <c r="AA29" i="9"/>
  <c r="AA18" i="9"/>
  <c r="AC13" i="9"/>
  <c r="V16" i="9"/>
  <c r="AB18" i="9"/>
  <c r="U21" i="9"/>
  <c r="X22" i="9"/>
  <c r="AA23" i="9"/>
  <c r="W27" i="9"/>
  <c r="AC29" i="9"/>
  <c r="V32" i="9"/>
  <c r="W22" i="9"/>
  <c r="AC18" i="9"/>
  <c r="V21" i="9"/>
  <c r="AB23" i="9"/>
  <c r="U26" i="9"/>
  <c r="X27" i="9"/>
  <c r="AA28" i="9"/>
  <c r="W32" i="9"/>
  <c r="U32" i="9"/>
  <c r="V5" i="9"/>
  <c r="X11" i="9"/>
  <c r="W5" i="9"/>
  <c r="AC7" i="9"/>
  <c r="V10" i="9"/>
  <c r="AB12" i="9"/>
  <c r="U15" i="9"/>
  <c r="X16" i="9"/>
  <c r="AA17" i="9"/>
  <c r="W21" i="9"/>
  <c r="Z22" i="9"/>
  <c r="AC23" i="9"/>
  <c r="V26" i="9"/>
  <c r="Y27" i="9"/>
  <c r="AB28" i="9"/>
  <c r="U31" i="9"/>
  <c r="X32" i="9"/>
  <c r="AA19" i="9"/>
  <c r="U27" i="9"/>
  <c r="AC8" i="9"/>
  <c r="U16" i="9"/>
  <c r="U5" i="9"/>
  <c r="AA7" i="9"/>
  <c r="U4" i="9"/>
  <c r="X5" i="9"/>
  <c r="AA6" i="9"/>
  <c r="W10" i="9"/>
  <c r="AC12" i="9"/>
  <c r="V15" i="9"/>
  <c r="Y16" i="9"/>
  <c r="AB17" i="9"/>
  <c r="U20" i="9"/>
  <c r="X21" i="9"/>
  <c r="AA22" i="9"/>
  <c r="W26" i="9"/>
  <c r="Z27" i="9"/>
  <c r="AC28" i="9"/>
  <c r="V31" i="9"/>
  <c r="Y32" i="9"/>
  <c r="U17" i="9"/>
  <c r="U11" i="9"/>
  <c r="W6" i="9"/>
  <c r="AC24" i="9"/>
  <c r="U10" i="9"/>
  <c r="V4" i="9"/>
  <c r="AB6" i="9"/>
  <c r="U9" i="9"/>
  <c r="X10" i="9"/>
  <c r="AA11" i="9"/>
  <c r="W15" i="9"/>
  <c r="Z16" i="9"/>
  <c r="AC17" i="9"/>
  <c r="V20" i="9"/>
  <c r="Y21" i="9"/>
  <c r="AB22" i="9"/>
  <c r="U25" i="9"/>
  <c r="X26" i="9"/>
  <c r="AA27" i="9"/>
  <c r="W31" i="9"/>
  <c r="Z32" i="9"/>
  <c r="AA13" i="9"/>
  <c r="X6" i="9"/>
  <c r="W11" i="9"/>
  <c r="AA12" i="9"/>
  <c r="W16" i="9"/>
  <c r="W4" i="9"/>
  <c r="AC6" i="9"/>
  <c r="V9" i="9"/>
  <c r="AB11" i="9"/>
  <c r="U14" i="9"/>
  <c r="X15" i="9"/>
  <c r="AA16" i="9"/>
  <c r="W20" i="9"/>
  <c r="Z21" i="9"/>
  <c r="AC22" i="9"/>
  <c r="V25" i="9"/>
  <c r="Y26" i="9"/>
  <c r="AB27" i="9"/>
  <c r="U30" i="9"/>
  <c r="X31" i="9"/>
  <c r="AA32" i="9"/>
  <c r="AA5" i="9"/>
  <c r="U19" i="9"/>
  <c r="AA10" i="9"/>
  <c r="AA26" i="9"/>
  <c r="W3" i="9"/>
  <c r="AC5" i="9"/>
  <c r="V8" i="9"/>
  <c r="AB10" i="9"/>
  <c r="U13" i="9"/>
  <c r="X14" i="9"/>
  <c r="AA15" i="9"/>
  <c r="W19" i="9"/>
  <c r="Z20" i="9"/>
  <c r="AC21" i="9"/>
  <c r="V24" i="9"/>
  <c r="Y25" i="9"/>
  <c r="AB26" i="9"/>
  <c r="U29" i="9"/>
  <c r="X30" i="9"/>
  <c r="AA31" i="9"/>
  <c r="AA21" i="9"/>
  <c r="W25" i="9"/>
  <c r="X3" i="9"/>
  <c r="AA4" i="9"/>
  <c r="W8" i="9"/>
  <c r="AC10" i="9"/>
  <c r="V13" i="9"/>
  <c r="Y14" i="9"/>
  <c r="AB15" i="9"/>
  <c r="U18" i="9"/>
  <c r="X19" i="9"/>
  <c r="AA20" i="9"/>
  <c r="W24" i="9"/>
  <c r="Z25" i="9"/>
  <c r="AC26" i="9"/>
  <c r="V29" i="9"/>
  <c r="Y30" i="9"/>
  <c r="AB31" i="9"/>
  <c r="AA3" i="9"/>
  <c r="X25" i="9"/>
  <c r="W30" i="9"/>
  <c r="AB4" i="9"/>
  <c r="U7" i="9"/>
  <c r="X8" i="9"/>
  <c r="AA9" i="9"/>
  <c r="W13" i="9"/>
  <c r="Z14" i="9"/>
  <c r="AC15" i="9"/>
  <c r="V18" i="9"/>
  <c r="Y19" i="9"/>
  <c r="AB20" i="9"/>
  <c r="U23" i="9"/>
  <c r="X24" i="9"/>
  <c r="AA25" i="9"/>
  <c r="W29" i="9"/>
  <c r="Z30" i="9"/>
  <c r="AC31" i="9"/>
  <c r="U3" i="9"/>
  <c r="U8" i="9"/>
  <c r="W14" i="9"/>
  <c r="AC16" i="9"/>
  <c r="U24" i="9"/>
  <c r="AC32" i="9"/>
  <c r="AC4" i="9"/>
  <c r="V7" i="9"/>
  <c r="AB9" i="9"/>
  <c r="U12" i="9"/>
  <c r="X13" i="9"/>
  <c r="AC35" i="9" l="1"/>
  <c r="A1" i="6" a="1"/>
  <c r="A1" i="6" s="1"/>
  <c r="S35" i="9"/>
  <c r="Q34" i="9"/>
  <c r="V35" i="9"/>
  <c r="T34" i="9"/>
  <c r="Q35" i="9"/>
  <c r="R34" i="9"/>
  <c r="Z34" i="9"/>
  <c r="V34" i="9"/>
  <c r="AB34" i="9"/>
  <c r="AB35" i="9"/>
  <c r="Y35" i="9"/>
  <c r="S34" i="9"/>
  <c r="R35" i="9"/>
  <c r="AA35" i="9"/>
  <c r="AA34" i="9"/>
  <c r="X35" i="9"/>
  <c r="X34" i="9"/>
  <c r="Y34" i="9"/>
  <c r="W34" i="9"/>
  <c r="W35" i="9"/>
  <c r="Z35" i="9"/>
  <c r="AC34" i="9"/>
  <c r="U34" i="9"/>
  <c r="U35" i="9"/>
  <c r="A16" i="2" l="1"/>
  <c r="B16" i="2" s="1"/>
  <c r="C16" i="2" s="1"/>
  <c r="D16" i="2"/>
  <c r="B15" i="2"/>
  <c r="C15" i="2"/>
  <c r="D15" i="2"/>
  <c r="E15" i="2"/>
  <c r="F15" i="2"/>
  <c r="G15" i="2"/>
  <c r="H15" i="2"/>
  <c r="I15" i="2"/>
  <c r="J15" i="2"/>
  <c r="K15" i="2"/>
  <c r="L15" i="2"/>
  <c r="M15" i="2"/>
  <c r="A15" i="2"/>
  <c r="H5" i="7" l="1"/>
  <c r="H33" i="7"/>
  <c r="E16" i="2"/>
  <c r="F16" i="2" s="1"/>
  <c r="G16" i="2" s="1"/>
  <c r="H16" i="2" s="1"/>
  <c r="I16" i="2" s="1"/>
  <c r="J16" i="2" s="1"/>
  <c r="K16" i="2" s="1"/>
  <c r="L16" i="2" s="1"/>
  <c r="M16" i="2" s="1"/>
  <c r="H11" i="7"/>
  <c r="H22" i="7"/>
  <c r="H16" i="7"/>
  <c r="H31" i="7"/>
  <c r="H14" i="7"/>
  <c r="H21" i="7"/>
  <c r="H20" i="7"/>
  <c r="H8" i="7"/>
  <c r="H34" i="7"/>
  <c r="H6" i="7"/>
  <c r="H15" i="7"/>
  <c r="H25" i="7"/>
  <c r="H7" i="7"/>
  <c r="H27" i="7"/>
  <c r="H26" i="7"/>
  <c r="H18" i="7"/>
  <c r="H30" i="7"/>
  <c r="H23" i="7"/>
  <c r="H28" i="7"/>
  <c r="H17" i="7"/>
  <c r="H24" i="7"/>
  <c r="H10" i="7"/>
  <c r="H32" i="7"/>
  <c r="H13" i="7"/>
  <c r="H29" i="7"/>
  <c r="H9" i="7"/>
  <c r="H19" i="7"/>
  <c r="H12" i="7"/>
  <c r="Q7" i="2" l="1"/>
  <c r="Q11" i="2"/>
  <c r="Q15" i="2"/>
  <c r="Q13" i="2"/>
  <c r="Q6" i="2"/>
  <c r="Q10" i="2"/>
  <c r="Q14" i="2"/>
  <c r="Q8" i="2"/>
  <c r="Q12" i="2"/>
  <c r="Q16" i="2"/>
  <c r="Q5" i="2"/>
  <c r="Q9" i="2"/>
  <c r="O36" i="8" l="1"/>
  <c r="O60" i="8"/>
  <c r="O37" i="8"/>
  <c r="O58" i="8"/>
  <c r="O38" i="8"/>
  <c r="O61" i="8"/>
  <c r="O65" i="8"/>
  <c r="O51" i="8"/>
  <c r="O41" i="8"/>
  <c r="O59" i="8"/>
  <c r="O54" i="8"/>
  <c r="O56" i="8"/>
  <c r="O62" i="8"/>
  <c r="O43" i="8"/>
  <c r="O46" i="8"/>
  <c r="O48" i="8"/>
  <c r="O39" i="8"/>
  <c r="O52" i="8"/>
  <c r="O49" i="8"/>
  <c r="O47" i="8"/>
  <c r="O53" i="8"/>
  <c r="O42" i="8"/>
  <c r="O50" i="8"/>
  <c r="O55" i="8"/>
  <c r="O57" i="8"/>
  <c r="O40" i="8"/>
  <c r="O64" i="8"/>
  <c r="O44" i="8"/>
  <c r="O45" i="8"/>
  <c r="O63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<sst xmlns="http://schemas.openxmlformats.org/spreadsheetml/2006/main" count="97" uniqueCount="62">
  <si>
    <t>Sample</t>
  </si>
  <si>
    <t>eigenvalue</t>
  </si>
  <si>
    <t>max</t>
  </si>
  <si>
    <t xml:space="preserve">Normalized </t>
  </si>
  <si>
    <t>Samples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</si>
  <si>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</si>
  <si>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</si>
  <si>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</si>
  <si>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</si>
  <si>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</si>
  <si>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</si>
  <si>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</si>
  <si>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</si>
  <si>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</si>
  <si>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</si>
  <si>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</si>
  <si>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</si>
  <si>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</si>
  <si>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</si>
  <si>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</si>
  <si>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</si>
  <si>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</si>
  <si>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</si>
  <si>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</si>
  <si>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</si>
  <si>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</si>
  <si>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</si>
  <si>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</si>
  <si>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</si>
  <si>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</si>
  <si>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</si>
  <si>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avg</t>
  </si>
  <si>
    <t>std</t>
  </si>
  <si>
    <t>PC</t>
  </si>
  <si>
    <t>T2</t>
  </si>
  <si>
    <t>STEP 4</t>
  </si>
  <si>
    <t>A=</t>
  </si>
  <si>
    <t>T^2</t>
  </si>
  <si>
    <t xml:space="preserve">Control limit </t>
  </si>
  <si>
    <t>Warning limit</t>
  </si>
  <si>
    <t>n=</t>
  </si>
  <si>
    <t>a=</t>
  </si>
  <si>
    <t>0.05,0.01</t>
  </si>
  <si>
    <t>From F distribution</t>
  </si>
  <si>
    <t>T^2 Limit</t>
  </si>
  <si>
    <t>F5,26,0.05=</t>
  </si>
  <si>
    <t>Control limit</t>
  </si>
  <si>
    <t>F5,26,0.01=</t>
  </si>
  <si>
    <t>Eigenvalues</t>
  </si>
  <si>
    <t>SPE</t>
  </si>
  <si>
    <t>=&gt; Selected eigenvector based on thresold</t>
  </si>
  <si>
    <t>X̆</t>
  </si>
  <si>
    <t>X</t>
  </si>
  <si>
    <t>P= X̆, normalized mean * V, Selected Eigenvectors</t>
  </si>
  <si>
    <t xml:space="preserve"> Selected Eigenvalues</t>
  </si>
  <si>
    <t>E = X̆ - X̂</t>
  </si>
  <si>
    <t>E = X̆ - PVt</t>
  </si>
  <si>
    <t>PVt = Multivariate Scores x Transposed Selected Eigenvectors</t>
  </si>
  <si>
    <t>=&gt; Shows the magnitude of deviation from centre of multivariate data</t>
  </si>
  <si>
    <t>=&gt; Conceptually measures the consistency of correlation among variables analyzed</t>
  </si>
  <si>
    <t>PHASE 1: Off-line Modelling and Monitoring</t>
  </si>
  <si>
    <t>Transposed Selected Eigenvector (Copy-Paste as Trasnposed)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</si>
</sst>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1"/>
      <name val="Arial"/>
      <family val="2"/>
    </font>
    <font>
      <b/>
      <sz val="16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/>
    <xf numFmtId="2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3" borderId="0" xfId="0" applyFont="1" applyFill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6" borderId="1" xfId="0" applyFill="1" applyBorder="1"/>
    <xf numFmtId="0" fontId="0" fillId="5" borderId="1" xfId="0" applyFill="1" applyBorder="1"/>
    <xf numFmtId="0" fontId="0" fillId="4" borderId="1" xfId="0" applyFill="1" applyBorder="1"/>
    <xf numFmtId="9" fontId="0" fillId="5" borderId="1" xfId="0" applyNumberFormat="1" applyFill="1" applyBorder="1"/>
    <xf numFmtId="9" fontId="0" fillId="5" borderId="0" xfId="0" applyNumberFormat="1" applyFill="1"/>
    <xf numFmtId="9" fontId="0" fillId="0" borderId="1" xfId="0" applyNumberFormat="1" applyBorder="1" applyAlignment="1">
      <alignment horizontal="center"/>
    </xf>
    <xf numFmtId="0" fontId="0" fillId="0" borderId="0" xfId="0" quotePrefix="1"/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Fill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7" borderId="0" xfId="0" applyFont="1" applyFill="1"/>
    <xf numFmtId="0" fontId="10" fillId="7" borderId="0" xfId="0" applyFont="1" applyFill="1"/>
    <xf numFmtId="0" fontId="6" fillId="0" borderId="0" xfId="0" quotePrefix="1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Variance Accumulated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'Step 2 - Eiegenvalues'!$Q$4:$Q$16</c:f>
              <c:numCache>
                <c:formatCode>General</c:formatCode>
                <c:ptCount val="13"/>
                <c:pt idx="0">
                  <c:v>0.3125396698800238</c:v>
                </c:pt>
                <c:pt idx="1">
                  <c:v>0.47948470867457071</c:v>
                </c:pt>
                <c:pt idx="2">
                  <c:v>0.60262980152821755</c:v>
                </c:pt>
                <c:pt idx="3">
                  <c:v>0.70397200832441142</c:v>
                </c:pt>
                <c:pt idx="4">
                  <c:v>0.79121824624775217</c:v>
                </c:pt>
                <c:pt idx="5">
                  <c:v>0.86303342177591535</c:v>
                </c:pt>
                <c:pt idx="6">
                  <c:v>0.91253579770727766</c:v>
                </c:pt>
                <c:pt idx="7">
                  <c:v>0.95781881419776538</c:v>
                </c:pt>
                <c:pt idx="8">
                  <c:v>0.98437632045526102</c:v>
                </c:pt>
                <c:pt idx="9">
                  <c:v>0.99586712316695636</c:v>
                </c:pt>
                <c:pt idx="10">
                  <c:v>0.9980539545733913</c:v>
                </c:pt>
                <c:pt idx="11">
                  <c:v>0.9997870197801958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03-4287-99A7-6B6915D6C662}"/>
            </c:ext>
          </c:extLst>
        </c:ser>
        <c:ser>
          <c:idx val="1"/>
          <c:order val="1"/>
          <c:tx>
            <c:v>80% Thresold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'Step 2 - Eiegenvalues'!$R$4:$R$16</c:f>
              <c:numCache>
                <c:formatCode>General</c:formatCode>
                <c:ptCount val="13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03-4287-99A7-6B6915D6C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1147503"/>
        <c:axId val="1915796063"/>
      </c:lineChart>
      <c:catAx>
        <c:axId val="19211475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796063"/>
        <c:crosses val="autoZero"/>
        <c:auto val="1"/>
        <c:lblAlgn val="ctr"/>
        <c:lblOffset val="100"/>
        <c:noMultiLvlLbl val="0"/>
      </c:catAx>
      <c:valAx>
        <c:axId val="191579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14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PCA BASED MSPM MONITORING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'Step 4 - T2'!$I$3</c:f>
              <c:strCache>
                <c:ptCount val="1"/>
                <c:pt idx="0">
                  <c:v>T^2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'Step 4 - T2'!$H$4:$H$33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'Step 4 - T2'!$I$4:$I$33</c:f>
              <c:numCache>
                <c:formatCode>General</c:formatCode>
                <c:ptCount val="30"/>
                <c:pt idx="0">
                  <c:v>0.99555931979331203</c:v>
                </c:pt>
                <c:pt idx="1">
                  <c:v>4.5543097256426472</c:v>
                </c:pt>
                <c:pt idx="2">
                  <c:v>7.4583683050053962</c:v>
                </c:pt>
                <c:pt idx="3">
                  <c:v>7.9314695727041222</c:v>
                </c:pt>
                <c:pt idx="4">
                  <c:v>5.891515445243277</c:v>
                </c:pt>
                <c:pt idx="5">
                  <c:v>6.3853817122825696</c:v>
                </c:pt>
                <c:pt idx="6">
                  <c:v>3.3589200156335064</c:v>
                </c:pt>
                <c:pt idx="7">
                  <c:v>2.6814573895144798</c:v>
                </c:pt>
                <c:pt idx="8">
                  <c:v>5.0869598403885687</c:v>
                </c:pt>
                <c:pt idx="9">
                  <c:v>5.3206760023134363</c:v>
                </c:pt>
                <c:pt idx="10">
                  <c:v>3.0582490409744834</c:v>
                </c:pt>
                <c:pt idx="11">
                  <c:v>5.951690385252502</c:v>
                </c:pt>
                <c:pt idx="12">
                  <c:v>5.1234342210852617</c:v>
                </c:pt>
                <c:pt idx="13">
                  <c:v>3.9186798175373343</c:v>
                </c:pt>
                <c:pt idx="14">
                  <c:v>0.82620490452511064</c:v>
                </c:pt>
                <c:pt idx="15">
                  <c:v>3.4940942181126862</c:v>
                </c:pt>
                <c:pt idx="16">
                  <c:v>4.15057519956504</c:v>
                </c:pt>
                <c:pt idx="17">
                  <c:v>4.5114351825813372</c:v>
                </c:pt>
                <c:pt idx="18">
                  <c:v>4.9102017469186068</c:v>
                </c:pt>
                <c:pt idx="19">
                  <c:v>3.8952782606378236</c:v>
                </c:pt>
                <c:pt idx="20">
                  <c:v>3.0386044550692501</c:v>
                </c:pt>
                <c:pt idx="21">
                  <c:v>2.3512117274090918</c:v>
                </c:pt>
                <c:pt idx="22">
                  <c:v>6.4543923719239862</c:v>
                </c:pt>
                <c:pt idx="23">
                  <c:v>3.217352435865084</c:v>
                </c:pt>
                <c:pt idx="24">
                  <c:v>8.0064294593538232</c:v>
                </c:pt>
                <c:pt idx="25">
                  <c:v>10.392250340408625</c:v>
                </c:pt>
                <c:pt idx="26">
                  <c:v>0.89368228620475154</c:v>
                </c:pt>
                <c:pt idx="27">
                  <c:v>5.3172718622767645</c:v>
                </c:pt>
                <c:pt idx="28">
                  <c:v>8.2217905546668515</c:v>
                </c:pt>
                <c:pt idx="29">
                  <c:v>7.6028096596188819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C0-426B-948E-80A634E6F1AC}"/>
            </c:ext>
          </c:extLst>
        </c:ser>
        <c:ser>
          <c:idx val="1"/>
          <c:order val="1"/>
          <c:tx>
            <c:strRef>
              <c:f>'Step 4 - T2'!$J$3</c:f>
              <c:strCache>
                <c:ptCount val="1"/>
                <c:pt idx="0">
                  <c:v>Control limit 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'Step 4 - T2'!$H$4:$H$33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'Step 4 - T2'!$J$4:$J$33</c:f>
              <c:numCache>
                <c:formatCode>General</c:formatCode>
                <c:ptCount val="30"/>
                <c:pt idx="0">
                  <c:v>22.919999999999998</c:v>
                </c:pt>
                <c:pt idx="1">
                  <c:v>22.919999999999998</c:v>
                </c:pt>
                <c:pt idx="2">
                  <c:v>22.919999999999998</c:v>
                </c:pt>
                <c:pt idx="3">
                  <c:v>22.919999999999998</c:v>
                </c:pt>
                <c:pt idx="4">
                  <c:v>22.919999999999998</c:v>
                </c:pt>
                <c:pt idx="5">
                  <c:v>22.919999999999998</c:v>
                </c:pt>
                <c:pt idx="6">
                  <c:v>22.919999999999998</c:v>
                </c:pt>
                <c:pt idx="7">
                  <c:v>22.919999999999998</c:v>
                </c:pt>
                <c:pt idx="8">
                  <c:v>22.919999999999998</c:v>
                </c:pt>
                <c:pt idx="9">
                  <c:v>22.919999999999998</c:v>
                </c:pt>
                <c:pt idx="10">
                  <c:v>22.919999999999998</c:v>
                </c:pt>
                <c:pt idx="11">
                  <c:v>22.919999999999998</c:v>
                </c:pt>
                <c:pt idx="12">
                  <c:v>22.919999999999998</c:v>
                </c:pt>
                <c:pt idx="13">
                  <c:v>22.919999999999998</c:v>
                </c:pt>
                <c:pt idx="14">
                  <c:v>22.919999999999998</c:v>
                </c:pt>
                <c:pt idx="15">
                  <c:v>22.919999999999998</c:v>
                </c:pt>
                <c:pt idx="16">
                  <c:v>22.919999999999998</c:v>
                </c:pt>
                <c:pt idx="17">
                  <c:v>22.919999999999998</c:v>
                </c:pt>
                <c:pt idx="18">
                  <c:v>22.919999999999998</c:v>
                </c:pt>
                <c:pt idx="19">
                  <c:v>22.919999999999998</c:v>
                </c:pt>
                <c:pt idx="20">
                  <c:v>22.919999999999998</c:v>
                </c:pt>
                <c:pt idx="21">
                  <c:v>22.919999999999998</c:v>
                </c:pt>
                <c:pt idx="22">
                  <c:v>22.919999999999998</c:v>
                </c:pt>
                <c:pt idx="23">
                  <c:v>22.919999999999998</c:v>
                </c:pt>
                <c:pt idx="24">
                  <c:v>22.919999999999998</c:v>
                </c:pt>
                <c:pt idx="25">
                  <c:v>22.919999999999998</c:v>
                </c:pt>
                <c:pt idx="26">
                  <c:v>22.919999999999998</c:v>
                </c:pt>
                <c:pt idx="27">
                  <c:v>22.919999999999998</c:v>
                </c:pt>
                <c:pt idx="28">
                  <c:v>22.919999999999998</c:v>
                </c:pt>
                <c:pt idx="29">
                  <c:v>22.919999999999998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EC0-426B-948E-80A634E6F1AC}"/>
            </c:ext>
          </c:extLst>
        </c:ser>
        <c:ser>
          <c:idx val="2"/>
          <c:order val="2"/>
          <c:tx>
            <c:strRef>
              <c:f>'Step 4 - T2'!$K$3</c:f>
              <c:strCache>
                <c:ptCount val="1"/>
                <c:pt idx="0">
                  <c:v>Warning limit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'Step 4 - T2'!$H$4:$H$33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'Step 4 - T2'!$K$4:$K$33</c:f>
              <c:numCache>
                <c:formatCode>General</c:formatCode>
                <c:ptCount val="30"/>
                <c:pt idx="0">
                  <c:v>15.54</c:v>
                </c:pt>
                <c:pt idx="1">
                  <c:v>15.54</c:v>
                </c:pt>
                <c:pt idx="2">
                  <c:v>15.54</c:v>
                </c:pt>
                <c:pt idx="3">
                  <c:v>15.54</c:v>
                </c:pt>
                <c:pt idx="4">
                  <c:v>15.54</c:v>
                </c:pt>
                <c:pt idx="5">
                  <c:v>15.54</c:v>
                </c:pt>
                <c:pt idx="6">
                  <c:v>15.54</c:v>
                </c:pt>
                <c:pt idx="7">
                  <c:v>15.54</c:v>
                </c:pt>
                <c:pt idx="8">
                  <c:v>15.54</c:v>
                </c:pt>
                <c:pt idx="9">
                  <c:v>15.54</c:v>
                </c:pt>
                <c:pt idx="10">
                  <c:v>15.54</c:v>
                </c:pt>
                <c:pt idx="11">
                  <c:v>15.54</c:v>
                </c:pt>
                <c:pt idx="12">
                  <c:v>15.54</c:v>
                </c:pt>
                <c:pt idx="13">
                  <c:v>15.54</c:v>
                </c:pt>
                <c:pt idx="14">
                  <c:v>15.54</c:v>
                </c:pt>
                <c:pt idx="15">
                  <c:v>15.54</c:v>
                </c:pt>
                <c:pt idx="16">
                  <c:v>15.54</c:v>
                </c:pt>
                <c:pt idx="17">
                  <c:v>15.54</c:v>
                </c:pt>
                <c:pt idx="18">
                  <c:v>15.54</c:v>
                </c:pt>
                <c:pt idx="19">
                  <c:v>15.54</c:v>
                </c:pt>
                <c:pt idx="20">
                  <c:v>15.54</c:v>
                </c:pt>
                <c:pt idx="21">
                  <c:v>15.54</c:v>
                </c:pt>
                <c:pt idx="22">
                  <c:v>15.54</c:v>
                </c:pt>
                <c:pt idx="23">
                  <c:v>15.54</c:v>
                </c:pt>
                <c:pt idx="24">
                  <c:v>15.54</c:v>
                </c:pt>
                <c:pt idx="25">
                  <c:v>15.54</c:v>
                </c:pt>
                <c:pt idx="26">
                  <c:v>15.54</c:v>
                </c:pt>
                <c:pt idx="27">
                  <c:v>15.54</c:v>
                </c:pt>
                <c:pt idx="28">
                  <c:v>15.54</c:v>
                </c:pt>
                <c:pt idx="29">
                  <c:v>15.54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EC0-426B-948E-80A634E6F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9173647"/>
        <c:axId val="1759174063"/>
      </c:scatterChart>
      <c:valAx>
        <c:axId val="1759173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174063"/>
        <c:crosses val="autoZero"/>
        <c:crossBetween val="midCat"/>
      </c:valAx>
      <c:valAx>
        <c:axId val="175917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T^2 Statistics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173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PCA BASED MSPM MONITORING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'Step 4 - SPE'!$I$6</c:f>
              <c:strCache>
                <c:ptCount val="1"/>
                <c:pt idx="0">
                  <c:v>SPE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'Step 4 - SPE'!$H$7:$H$37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'Step 4 - SPE'!$I$7:$I$37</c:f>
              <c:numCache>
                <c:formatCode>General</c:formatCode>
                <c:ptCount val="31"/>
                <c:pt idx="0">
                  <c:v>3.5071222588134212</c:v>
                </c:pt>
                <c:pt idx="1">
                  <c:v>1.4549679362814603</c:v>
                </c:pt>
                <c:pt idx="2">
                  <c:v>3.1478782551134143</c:v>
                </c:pt>
                <c:pt idx="3">
                  <c:v>1.4112024656700037</c:v>
                </c:pt>
                <c:pt idx="4">
                  <c:v>1.3440523689363422</c:v>
                </c:pt>
                <c:pt idx="5">
                  <c:v>2.9687721442469699</c:v>
                </c:pt>
                <c:pt idx="6">
                  <c:v>4.1933516544757587</c:v>
                </c:pt>
                <c:pt idx="7">
                  <c:v>1.9578891322207834</c:v>
                </c:pt>
                <c:pt idx="8">
                  <c:v>1.1321103756579545</c:v>
                </c:pt>
                <c:pt idx="9">
                  <c:v>3.6118067412798665</c:v>
                </c:pt>
                <c:pt idx="10">
                  <c:v>2.9541923390532911</c:v>
                </c:pt>
                <c:pt idx="11">
                  <c:v>1.3311695678172561</c:v>
                </c:pt>
                <c:pt idx="12">
                  <c:v>1.4598195264278639</c:v>
                </c:pt>
                <c:pt idx="13">
                  <c:v>2.8832592891148221</c:v>
                </c:pt>
                <c:pt idx="14">
                  <c:v>2.3555819964768232</c:v>
                </c:pt>
                <c:pt idx="15">
                  <c:v>10.703734332287985</c:v>
                </c:pt>
                <c:pt idx="16">
                  <c:v>0.66840203657544239</c:v>
                </c:pt>
                <c:pt idx="17">
                  <c:v>4.853592837831207</c:v>
                </c:pt>
                <c:pt idx="18">
                  <c:v>1.0176629009015723</c:v>
                </c:pt>
                <c:pt idx="19">
                  <c:v>3.6526729742164252</c:v>
                </c:pt>
                <c:pt idx="20">
                  <c:v>4.5441367292129673</c:v>
                </c:pt>
                <c:pt idx="21">
                  <c:v>1.5855519501705246</c:v>
                </c:pt>
                <c:pt idx="22">
                  <c:v>1.8653288327449862</c:v>
                </c:pt>
                <c:pt idx="23">
                  <c:v>3.2322770400585372</c:v>
                </c:pt>
                <c:pt idx="24">
                  <c:v>0.22095459777883741</c:v>
                </c:pt>
                <c:pt idx="25">
                  <c:v>0.17050573530679783</c:v>
                </c:pt>
                <c:pt idx="26">
                  <c:v>2.3832379820083065</c:v>
                </c:pt>
                <c:pt idx="27">
                  <c:v>1.1149799057685956</c:v>
                </c:pt>
                <c:pt idx="28">
                  <c:v>4.0187746346950952</c:v>
                </c:pt>
                <c:pt idx="29">
                  <c:v>2.9645994006848491</c:v>
                </c:pt>
                <c:pt idx="30">
                  <c:v>2.4254104969023857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30-4688-8C53-71C4DECA6B65}"/>
            </c:ext>
          </c:extLst>
        </c:ser>
        <c:ser>
          <c:idx val="1"/>
          <c:order val="1"/>
          <c:tx>
            <c:strRef>
              <c:f>'Step 4 - SPE'!$J$6</c:f>
              <c:strCache>
                <c:ptCount val="1"/>
                <c:pt idx="0">
                  <c:v>Control limit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'Step 4 - SPE'!$H$7:$H$37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'Step 4 - SPE'!$J$7:$J$37</c:f>
              <c:numCache>
                <c:formatCode>General</c:formatCode>
                <c:ptCount val="31"/>
                <c:pt idx="0">
                  <c:v>11.53710051</c:v>
                </c:pt>
                <c:pt idx="1">
                  <c:v>11.53710051</c:v>
                </c:pt>
                <c:pt idx="2">
                  <c:v>11.53710051</c:v>
                </c:pt>
                <c:pt idx="3">
                  <c:v>11.53710051</c:v>
                </c:pt>
                <c:pt idx="4">
                  <c:v>11.53710051</c:v>
                </c:pt>
                <c:pt idx="5">
                  <c:v>11.53710051</c:v>
                </c:pt>
                <c:pt idx="6">
                  <c:v>11.53710051</c:v>
                </c:pt>
                <c:pt idx="7">
                  <c:v>11.53710051</c:v>
                </c:pt>
                <c:pt idx="8">
                  <c:v>11.53710051</c:v>
                </c:pt>
                <c:pt idx="9">
                  <c:v>11.53710051</c:v>
                </c:pt>
                <c:pt idx="10">
                  <c:v>11.53710051</c:v>
                </c:pt>
                <c:pt idx="11">
                  <c:v>11.53710051</c:v>
                </c:pt>
                <c:pt idx="12">
                  <c:v>11.53710051</c:v>
                </c:pt>
                <c:pt idx="13">
                  <c:v>11.53710051</c:v>
                </c:pt>
                <c:pt idx="14">
                  <c:v>11.53710051</c:v>
                </c:pt>
                <c:pt idx="15">
                  <c:v>11.53710051</c:v>
                </c:pt>
                <c:pt idx="16">
                  <c:v>11.53710051</c:v>
                </c:pt>
                <c:pt idx="17">
                  <c:v>11.53710051</c:v>
                </c:pt>
                <c:pt idx="18">
                  <c:v>11.53710051</c:v>
                </c:pt>
                <c:pt idx="19">
                  <c:v>11.53710051</c:v>
                </c:pt>
                <c:pt idx="20">
                  <c:v>11.53710051</c:v>
                </c:pt>
                <c:pt idx="21">
                  <c:v>11.53710051</c:v>
                </c:pt>
                <c:pt idx="22">
                  <c:v>11.53710051</c:v>
                </c:pt>
                <c:pt idx="23">
                  <c:v>11.53710051</c:v>
                </c:pt>
                <c:pt idx="24">
                  <c:v>11.53710051</c:v>
                </c:pt>
                <c:pt idx="25">
                  <c:v>11.53710051</c:v>
                </c:pt>
                <c:pt idx="26">
                  <c:v>11.53710051</c:v>
                </c:pt>
                <c:pt idx="27">
                  <c:v>11.53710051</c:v>
                </c:pt>
                <c:pt idx="28">
                  <c:v>11.53710051</c:v>
                </c:pt>
                <c:pt idx="29">
                  <c:v>11.53710051</c:v>
                </c:pt>
                <c:pt idx="30">
                  <c:v>11.53710051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30-4688-8C53-71C4DECA6B65}"/>
            </c:ext>
          </c:extLst>
        </c:ser>
        <c:ser>
          <c:idx val="2"/>
          <c:order val="2"/>
          <c:tx>
            <c:strRef>
              <c:f>'Step 4 - SPE'!$K$6</c:f>
              <c:strCache>
                <c:ptCount val="1"/>
                <c:pt idx="0">
                  <c:v>Warning limit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'Step 4 - SPE'!$H$7:$H$37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'Step 4 - SPE'!$K$7:$K$37</c:f>
              <c:numCache>
                <c:formatCode>General</c:formatCode>
                <c:ptCount val="31"/>
                <c:pt idx="0">
                  <c:v>11.146316799999999</c:v>
                </c:pt>
                <c:pt idx="1">
                  <c:v>11.146316799999999</c:v>
                </c:pt>
                <c:pt idx="2">
                  <c:v>11.146316799999999</c:v>
                </c:pt>
                <c:pt idx="3">
                  <c:v>11.146316799999999</c:v>
                </c:pt>
                <c:pt idx="4">
                  <c:v>11.146316799999999</c:v>
                </c:pt>
                <c:pt idx="5">
                  <c:v>11.146316799999999</c:v>
                </c:pt>
                <c:pt idx="6">
                  <c:v>11.146316799999999</c:v>
                </c:pt>
                <c:pt idx="7">
                  <c:v>11.146316799999999</c:v>
                </c:pt>
                <c:pt idx="8">
                  <c:v>11.146316799999999</c:v>
                </c:pt>
                <c:pt idx="9">
                  <c:v>11.146316799999999</c:v>
                </c:pt>
                <c:pt idx="10">
                  <c:v>11.146316799999999</c:v>
                </c:pt>
                <c:pt idx="11">
                  <c:v>11.146316799999999</c:v>
                </c:pt>
                <c:pt idx="12">
                  <c:v>11.146316799999999</c:v>
                </c:pt>
                <c:pt idx="13">
                  <c:v>11.146316799999999</c:v>
                </c:pt>
                <c:pt idx="14">
                  <c:v>11.146316799999999</c:v>
                </c:pt>
                <c:pt idx="15">
                  <c:v>11.146316799999999</c:v>
                </c:pt>
                <c:pt idx="16">
                  <c:v>11.146316799999999</c:v>
                </c:pt>
                <c:pt idx="17">
                  <c:v>11.146316799999999</c:v>
                </c:pt>
                <c:pt idx="18">
                  <c:v>11.146316799999999</c:v>
                </c:pt>
                <c:pt idx="19">
                  <c:v>11.146316799999999</c:v>
                </c:pt>
                <c:pt idx="20">
                  <c:v>11.146316799999999</c:v>
                </c:pt>
                <c:pt idx="21">
                  <c:v>11.146316799999999</c:v>
                </c:pt>
                <c:pt idx="22">
                  <c:v>11.146316799999999</c:v>
                </c:pt>
                <c:pt idx="23">
                  <c:v>11.146316799999999</c:v>
                </c:pt>
                <c:pt idx="24">
                  <c:v>11.146316799999999</c:v>
                </c:pt>
                <c:pt idx="25">
                  <c:v>11.146316799999999</c:v>
                </c:pt>
                <c:pt idx="26">
                  <c:v>11.146316799999999</c:v>
                </c:pt>
                <c:pt idx="27">
                  <c:v>11.146316799999999</c:v>
                </c:pt>
                <c:pt idx="28">
                  <c:v>11.146316799999999</c:v>
                </c:pt>
                <c:pt idx="29">
                  <c:v>11.146316799999999</c:v>
                </c:pt>
                <c:pt idx="30">
                  <c:v>11.146316799999999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30-4688-8C53-71C4DECA6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7548191"/>
        <c:axId val="1747548607"/>
      </c:scatterChart>
      <c:valAx>
        <c:axId val="1747548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548607"/>
        <c:crosses val="autoZero"/>
        <c:crossBetween val="midCat"/>
      </c:valAx>
      <c:valAx>
        <c:axId val="174754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SPE Statistics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5481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w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14659</xdr:colOff>
      <xdr:row>2</xdr:row>
      <xdr:rowOff>9524</xdr:rowOff>
    </xdr:from>
    <xdr:to>
      <xdr:col>16</xdr:col>
      <xdr:colOff>519483</xdr:colOff>
      <xdr:row>24</xdr:row>
      <xdr:rowOff>76203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 rot="16200000">
          <a:off x="6124577" y="896817"/>
          <a:ext cx="4096487" cy="415363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STEP</a:t>
          </a:r>
          <a:r>
            <a:rPr lang="en-US" sz="2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3</a:t>
          </a:r>
          <a:endParaRPr lang="en-US" sz="24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142876</xdr:colOff>
      <xdr:row>23</xdr:row>
      <xdr:rowOff>76199</xdr:rowOff>
    </xdr:from>
    <xdr:to>
      <xdr:col>8</xdr:col>
      <xdr:colOff>38101</xdr:colOff>
      <xdr:row>62</xdr:row>
      <xdr:rowOff>66677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 rot="16200000">
          <a:off x="-690563" y="6586538"/>
          <a:ext cx="7048503" cy="41624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STEP</a:t>
          </a:r>
          <a:r>
            <a:rPr lang="en-US" sz="2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2</a:t>
          </a:r>
          <a:endParaRPr lang="en-US" sz="24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171450</xdr:colOff>
      <xdr:row>2</xdr:row>
      <xdr:rowOff>19050</xdr:rowOff>
    </xdr:from>
    <xdr:to>
      <xdr:col>8</xdr:col>
      <xdr:colOff>0</xdr:colOff>
      <xdr:row>22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 rot="16200000">
          <a:off x="952500" y="1114425"/>
          <a:ext cx="3752850" cy="40957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STEP</a:t>
          </a:r>
          <a:r>
            <a:rPr lang="en-US" sz="2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1</a:t>
          </a:r>
          <a:endParaRPr lang="en-US" sz="24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133351</xdr:colOff>
      <xdr:row>3</xdr:row>
      <xdr:rowOff>114301</xdr:rowOff>
    </xdr:from>
    <xdr:to>
      <xdr:col>7</xdr:col>
      <xdr:colOff>76201</xdr:colOff>
      <xdr:row>8</xdr:row>
      <xdr:rowOff>123826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352551" y="1200151"/>
          <a:ext cx="2990850" cy="9144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Gathering of</a:t>
          </a:r>
          <a:r>
            <a:rPr lang="en-US" sz="1100" baseline="0">
              <a:solidFill>
                <a:sysClr val="windowText" lastClr="000000"/>
              </a:solidFill>
            </a:rPr>
            <a:t> NOC (Normal Operation Condition) Data and Variables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133350</xdr:colOff>
      <xdr:row>10</xdr:row>
      <xdr:rowOff>9525</xdr:rowOff>
    </xdr:from>
    <xdr:to>
      <xdr:col>7</xdr:col>
      <xdr:colOff>76200</xdr:colOff>
      <xdr:row>15</xdr:row>
      <xdr:rowOff>19050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352550" y="2724150"/>
          <a:ext cx="2990850" cy="9144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Removing</a:t>
          </a:r>
          <a:r>
            <a:rPr lang="en-US" sz="1100" baseline="0">
              <a:solidFill>
                <a:sysClr val="windowText" lastClr="000000"/>
              </a:solidFill>
            </a:rPr>
            <a:t> outliers and data cleaning / refinement *for each variable?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133351</xdr:colOff>
      <xdr:row>16</xdr:row>
      <xdr:rowOff>38101</xdr:rowOff>
    </xdr:from>
    <xdr:to>
      <xdr:col>7</xdr:col>
      <xdr:colOff>76201</xdr:colOff>
      <xdr:row>21</xdr:row>
      <xdr:rowOff>47626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352551" y="3476626"/>
          <a:ext cx="2990850" cy="9144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Standardization</a:t>
          </a:r>
          <a:r>
            <a:rPr lang="en-US" sz="1100" baseline="0">
              <a:solidFill>
                <a:sysClr val="windowText" lastClr="000000"/>
              </a:solidFill>
            </a:rPr>
            <a:t> of data to zero mean and unit variance for respective variables.</a:t>
          </a:r>
        </a:p>
      </xdr:txBody>
    </xdr:sp>
    <xdr:clientData/>
  </xdr:twoCellAnchor>
  <xdr:twoCellAnchor>
    <xdr:from>
      <xdr:col>2</xdr:col>
      <xdr:colOff>133351</xdr:colOff>
      <xdr:row>24</xdr:row>
      <xdr:rowOff>114301</xdr:rowOff>
    </xdr:from>
    <xdr:to>
      <xdr:col>7</xdr:col>
      <xdr:colOff>76201</xdr:colOff>
      <xdr:row>30</xdr:row>
      <xdr:rowOff>123825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352551" y="5000626"/>
          <a:ext cx="2990850" cy="10953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Development of Correlation Matrix (or</a:t>
          </a:r>
          <a:r>
            <a:rPr lang="en-US" sz="1100" baseline="0">
              <a:solidFill>
                <a:sysClr val="windowText" lastClr="000000"/>
              </a:solidFill>
            </a:rPr>
            <a:t> Covariance Matrix) via Excel Data Analysis Tool</a:t>
          </a:r>
        </a:p>
        <a:p>
          <a:pPr algn="ctr"/>
          <a:endParaRPr lang="en-US" sz="1100" baseline="0">
            <a:solidFill>
              <a:sysClr val="windowText" lastClr="000000"/>
            </a:solidFill>
          </a:endParaRPr>
        </a:p>
        <a:p>
          <a:pPr algn="l"/>
          <a:r>
            <a:rPr lang="en-US" sz="1100" i="1" baseline="0">
              <a:solidFill>
                <a:sysClr val="windowText" lastClr="000000"/>
              </a:solidFill>
            </a:rPr>
            <a:t>*Note: To enable Data Analysis Tool Pak via Excel Add-On.</a:t>
          </a:r>
          <a:endParaRPr lang="en-US" sz="1100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133351</xdr:colOff>
      <xdr:row>32</xdr:row>
      <xdr:rowOff>152401</xdr:rowOff>
    </xdr:from>
    <xdr:to>
      <xdr:col>7</xdr:col>
      <xdr:colOff>76201</xdr:colOff>
      <xdr:row>40</xdr:row>
      <xdr:rowOff>142875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857251" y="6019801"/>
          <a:ext cx="2990850" cy="1438274"/>
          <a:chOff x="1352551" y="6696076"/>
          <a:chExt cx="2990850" cy="1438274"/>
        </a:xfrm>
      </xdr:grpSpPr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1352551" y="6696076"/>
            <a:ext cx="2990850" cy="143827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Transformation of Correlation</a:t>
            </a:r>
            <a:r>
              <a:rPr lang="en-US" sz="1100" baseline="0">
                <a:solidFill>
                  <a:sysClr val="windowText" lastClr="000000"/>
                </a:solidFill>
              </a:rPr>
              <a:t> Matrix to Eigenvector Matrix and Eigenvalues</a:t>
            </a:r>
          </a:p>
          <a:p>
            <a:pPr algn="l"/>
            <a:endParaRPr lang="en-US" sz="1100" baseline="0">
              <a:solidFill>
                <a:sysClr val="windowText" lastClr="000000"/>
              </a:solidFill>
            </a:endParaRPr>
          </a:p>
          <a:p>
            <a:pPr algn="l"/>
            <a:r>
              <a:rPr lang="en-US" sz="1100" baseline="0">
                <a:solidFill>
                  <a:sysClr val="windowText" lastClr="000000"/>
                </a:solidFill>
              </a:rPr>
              <a:t>Python Example=&gt;</a:t>
            </a:r>
          </a:p>
          <a:p>
            <a:pPr algn="ctr"/>
            <a:endParaRPr lang="en-US" sz="1100" i="1" baseline="0">
              <a:solidFill>
                <a:sysClr val="windowText" lastClr="000000"/>
              </a:solidFill>
            </a:endParaRPr>
          </a:p>
          <a:p>
            <a:pPr algn="ctr"/>
            <a:endParaRPr lang="en-US" sz="1100" i="1" baseline="0">
              <a:solidFill>
                <a:sysClr val="windowText" lastClr="000000"/>
              </a:solidFill>
            </a:endParaRPr>
          </a:p>
          <a:p>
            <a:pPr algn="ctr"/>
            <a:endParaRPr lang="en-US" sz="1100" i="1" baseline="0">
              <a:solidFill>
                <a:sysClr val="windowText" lastClr="000000"/>
              </a:solidFill>
            </a:endParaRPr>
          </a:p>
          <a:p>
            <a:pPr algn="ctr"/>
            <a:endParaRPr lang="en-US" sz="1100" i="1" baseline="0">
              <a:solidFill>
                <a:sysClr val="windowText" lastClr="000000"/>
              </a:solidFill>
            </a:endParaRPr>
          </a:p>
          <a:p>
            <a:pPr algn="ctr"/>
            <a:endParaRPr lang="en-US" sz="1100" baseline="0">
              <a:solidFill>
                <a:sysClr val="windowText" lastClr="000000"/>
              </a:solidFill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7409" name="Object 1" hidden="1">
                <a:extLst>
                  <a:ext uri="{63B3BB69-23CF-44E3-9099-C40C66FF867C}">
                    <a14:compatExt spid="_x0000_s17409"/>
                  </a:ext>
                  <a:ext uri="{FF2B5EF4-FFF2-40B4-BE49-F238E27FC236}">
                    <a16:creationId xmlns:a16="http://schemas.microsoft.com/office/drawing/2014/main" id="{00000000-0008-0000-0000-000001440000}"/>
                  </a:ext>
                </a:extLst>
              </xdr:cNvPr>
              <xdr:cNvSpPr/>
            </xdr:nvSpPr>
            <xdr:spPr bwMode="auto">
              <a:xfrm>
                <a:off x="2543175" y="7296150"/>
                <a:ext cx="914400" cy="6858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2</xdr:col>
      <xdr:colOff>133350</xdr:colOff>
      <xdr:row>43</xdr:row>
      <xdr:rowOff>0</xdr:rowOff>
    </xdr:from>
    <xdr:to>
      <xdr:col>7</xdr:col>
      <xdr:colOff>76200</xdr:colOff>
      <xdr:row>51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352550" y="8324850"/>
          <a:ext cx="2990850" cy="1609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Propotion of Data</a:t>
          </a:r>
          <a:r>
            <a:rPr lang="en-US" sz="1100" baseline="0">
              <a:solidFill>
                <a:sysClr val="windowText" lastClr="000000"/>
              </a:solidFill>
            </a:rPr>
            <a:t> Variation</a:t>
          </a:r>
        </a:p>
        <a:p>
          <a:pPr algn="ctr"/>
          <a:r>
            <a:rPr lang="en-US" sz="1100" i="1" baseline="0">
              <a:solidFill>
                <a:sysClr val="windowText" lastClr="000000"/>
              </a:solidFill>
            </a:rPr>
            <a:t>Plot a curve of accumulated variance eigenvalues against number of principle components </a:t>
          </a:r>
        </a:p>
        <a:p>
          <a:pPr algn="ctr"/>
          <a:endParaRPr lang="en-US" sz="1100" i="1" baseline="0">
            <a:solidFill>
              <a:sysClr val="windowText" lastClr="000000"/>
            </a:solidFill>
          </a:endParaRPr>
        </a:p>
        <a:p>
          <a:pPr algn="ctr"/>
          <a:endParaRPr lang="en-US" sz="1100" i="1" baseline="0">
            <a:solidFill>
              <a:sysClr val="windowText" lastClr="000000"/>
            </a:solidFill>
          </a:endParaRPr>
        </a:p>
        <a:p>
          <a:pPr algn="ctr"/>
          <a:endParaRPr lang="en-US" sz="1100" i="1" baseline="0">
            <a:solidFill>
              <a:sysClr val="windowText" lastClr="000000"/>
            </a:solidFill>
          </a:endParaRPr>
        </a:p>
        <a:p>
          <a:pPr algn="ctr"/>
          <a:endParaRPr lang="en-US" sz="1100" i="1" baseline="0">
            <a:solidFill>
              <a:sysClr val="windowText" lastClr="000000"/>
            </a:solidFill>
          </a:endParaRPr>
        </a:p>
        <a:p>
          <a:pPr algn="ctr"/>
          <a:endParaRPr lang="en-US" sz="1100" i="1" baseline="0">
            <a:solidFill>
              <a:sysClr val="windowText" lastClr="000000"/>
            </a:solidFill>
          </a:endParaRPr>
        </a:p>
        <a:p>
          <a:pPr algn="ctr"/>
          <a:endParaRPr lang="en-US" sz="1100" i="1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133350</xdr:colOff>
      <xdr:row>53</xdr:row>
      <xdr:rowOff>19050</xdr:rowOff>
    </xdr:from>
    <xdr:to>
      <xdr:col>7</xdr:col>
      <xdr:colOff>76200</xdr:colOff>
      <xdr:row>61</xdr:row>
      <xdr:rowOff>95250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352550" y="10515600"/>
          <a:ext cx="2990850" cy="1524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Computation</a:t>
          </a:r>
          <a:r>
            <a:rPr lang="en-US" sz="1100" baseline="0">
              <a:solidFill>
                <a:sysClr val="windowText" lastClr="000000"/>
              </a:solidFill>
            </a:rPr>
            <a:t> of Priciple Component </a:t>
          </a:r>
        </a:p>
        <a:p>
          <a:pPr algn="ctr"/>
          <a:r>
            <a:rPr lang="en-US" sz="1100" i="1" baseline="0">
              <a:solidFill>
                <a:sysClr val="windowText" lastClr="000000"/>
              </a:solidFill>
            </a:rPr>
            <a:t>Apply Matrix Multiplication of Standardized Data and Selected Eigenmatrix</a:t>
          </a:r>
        </a:p>
        <a:p>
          <a:pPr algn="ctr"/>
          <a:endParaRPr lang="en-US" sz="1100" i="1" baseline="0">
            <a:solidFill>
              <a:sysClr val="windowText" lastClr="000000"/>
            </a:solidFill>
          </a:endParaRPr>
        </a:p>
        <a:p>
          <a:pPr algn="ctr"/>
          <a:r>
            <a:rPr lang="en-US" sz="1100" i="1" baseline="0">
              <a:solidFill>
                <a:sysClr val="windowText" lastClr="000000"/>
              </a:solidFill>
            </a:rPr>
            <a:t>Note: Use excel mmult function. Check beforehand multiplication matrixes </a:t>
          </a:r>
        </a:p>
        <a:p>
          <a:pPr algn="ctr"/>
          <a:r>
            <a:rPr lang="en-US" sz="1100" i="1" baseline="0">
              <a:solidFill>
                <a:sysClr val="windowText" lastClr="000000"/>
              </a:solidFill>
            </a:rPr>
            <a:t>e.g. [30x13] * [13x5] = [30x5)</a:t>
          </a:r>
        </a:p>
      </xdr:txBody>
    </xdr:sp>
    <xdr:clientData/>
  </xdr:twoCellAnchor>
  <xdr:twoCellAnchor>
    <xdr:from>
      <xdr:col>11</xdr:col>
      <xdr:colOff>128957</xdr:colOff>
      <xdr:row>2</xdr:row>
      <xdr:rowOff>171450</xdr:rowOff>
    </xdr:from>
    <xdr:to>
      <xdr:col>16</xdr:col>
      <xdr:colOff>71807</xdr:colOff>
      <xdr:row>10</xdr:row>
      <xdr:rowOff>171450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818438" y="1087315"/>
          <a:ext cx="2983523" cy="146538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Calculation</a:t>
          </a:r>
          <a:r>
            <a:rPr lang="en-US" sz="1100" baseline="0">
              <a:solidFill>
                <a:sysClr val="windowText" lastClr="000000"/>
              </a:solidFill>
            </a:rPr>
            <a:t> of </a:t>
          </a:r>
          <a:r>
            <a:rPr lang="en-US" sz="1400" b="1" baseline="0">
              <a:solidFill>
                <a:sysClr val="windowText" lastClr="000000"/>
              </a:solidFill>
            </a:rPr>
            <a:t>Hotelling's T2 </a:t>
          </a:r>
          <a:r>
            <a:rPr lang="en-US" sz="1100" baseline="0">
              <a:solidFill>
                <a:sysClr val="windowText" lastClr="000000"/>
              </a:solidFill>
            </a:rPr>
            <a:t>- conceptually shows maginuted of deviation from centre of multivariate data</a:t>
          </a:r>
        </a:p>
        <a:p>
          <a:pPr algn="ctr"/>
          <a:endParaRPr lang="en-US" sz="1100" baseline="0">
            <a:solidFill>
              <a:sysClr val="windowText" lastClr="000000"/>
            </a:solidFill>
          </a:endParaRPr>
        </a:p>
        <a:p>
          <a:pPr algn="ctr"/>
          <a:r>
            <a:rPr lang="en-US" sz="1100" i="1" baseline="0">
              <a:solidFill>
                <a:sysClr val="windowText" lastClr="000000"/>
              </a:solidFill>
            </a:rPr>
            <a:t>Summation of each PC squared per respective selected eigenvalues.</a:t>
          </a:r>
        </a:p>
      </xdr:txBody>
    </xdr:sp>
    <xdr:clientData/>
  </xdr:twoCellAnchor>
  <xdr:twoCellAnchor>
    <xdr:from>
      <xdr:col>11</xdr:col>
      <xdr:colOff>109907</xdr:colOff>
      <xdr:row>12</xdr:row>
      <xdr:rowOff>76200</xdr:rowOff>
    </xdr:from>
    <xdr:to>
      <xdr:col>16</xdr:col>
      <xdr:colOff>52757</xdr:colOff>
      <xdr:row>22</xdr:row>
      <xdr:rowOff>95250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6815507" y="2247900"/>
          <a:ext cx="2990850" cy="18288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Calculation</a:t>
          </a:r>
          <a:r>
            <a:rPr lang="en-US" sz="1100" baseline="0">
              <a:solidFill>
                <a:sysClr val="windowText" lastClr="000000"/>
              </a:solidFill>
            </a:rPr>
            <a:t> of </a:t>
          </a:r>
          <a:r>
            <a:rPr lang="en-US" sz="1400" b="1" baseline="0">
              <a:solidFill>
                <a:sysClr val="windowText" lastClr="000000"/>
              </a:solidFill>
            </a:rPr>
            <a:t>Squared Prediction Erorrs (SPE) </a:t>
          </a:r>
          <a:r>
            <a:rPr lang="en-US" sz="1100" baseline="0">
              <a:solidFill>
                <a:sysClr val="windowText" lastClr="000000"/>
              </a:solidFill>
            </a:rPr>
            <a:t>(consistency of correlation among variables)</a:t>
          </a:r>
        </a:p>
        <a:p>
          <a:pPr algn="ctr"/>
          <a:endParaRPr lang="en-US" sz="1100" baseline="0">
            <a:solidFill>
              <a:sysClr val="windowText" lastClr="000000"/>
            </a:solidFill>
          </a:endParaRPr>
        </a:p>
        <a:p>
          <a:pPr algn="ctr"/>
          <a:r>
            <a:rPr lang="en-US" sz="1100" i="1" baseline="0">
              <a:solidFill>
                <a:sysClr val="windowText" lastClr="000000"/>
              </a:solidFill>
            </a:rPr>
            <a:t>E matrix is calculated by Standardized Data - Principle Component * Transposed Selected Eigenvector</a:t>
          </a:r>
        </a:p>
        <a:p>
          <a:pPr algn="ctr"/>
          <a:r>
            <a:rPr lang="en-US" sz="1100" i="1" baseline="0">
              <a:solidFill>
                <a:sysClr val="windowText" lastClr="000000"/>
              </a:solidFill>
            </a:rPr>
            <a:t>SPE is given by squared of each variables in a row of E matrix.</a:t>
          </a:r>
        </a:p>
      </xdr:txBody>
    </xdr:sp>
    <xdr:clientData/>
  </xdr:twoCellAnchor>
  <xdr:twoCellAnchor>
    <xdr:from>
      <xdr:col>2</xdr:col>
      <xdr:colOff>381000</xdr:colOff>
      <xdr:row>47</xdr:row>
      <xdr:rowOff>9525</xdr:rowOff>
    </xdr:from>
    <xdr:to>
      <xdr:col>6</xdr:col>
      <xdr:colOff>457200</xdr:colOff>
      <xdr:row>50</xdr:row>
      <xdr:rowOff>161925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600200" y="9058275"/>
          <a:ext cx="2514600" cy="695325"/>
        </a:xfrm>
        <a:prstGeom prst="rect">
          <a:avLst/>
        </a:prstGeom>
        <a:noFill/>
        <a:ln>
          <a:solidFill>
            <a:sysClr val="windowText" lastClr="00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i="1" baseline="0">
              <a:solidFill>
                <a:sysClr val="windowText" lastClr="000000"/>
              </a:solidFill>
            </a:rPr>
            <a:t>=&gt; Selected eigenvalues and eigenmatrix by eliminating top 20% as marginal error (insignificant to model).</a:t>
          </a:r>
        </a:p>
      </xdr:txBody>
    </xdr:sp>
    <xdr:clientData/>
  </xdr:twoCellAnchor>
  <xdr:twoCellAnchor>
    <xdr:from>
      <xdr:col>18</xdr:col>
      <xdr:colOff>338511</xdr:colOff>
      <xdr:row>1</xdr:row>
      <xdr:rowOff>0</xdr:rowOff>
    </xdr:from>
    <xdr:to>
      <xdr:col>25</xdr:col>
      <xdr:colOff>233737</xdr:colOff>
      <xdr:row>25</xdr:row>
      <xdr:rowOff>28574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 rot="16200000">
          <a:off x="11099930" y="820248"/>
          <a:ext cx="4522176" cy="4152168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STEP</a:t>
          </a:r>
          <a:r>
            <a:rPr lang="en-US" sz="2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4</a:t>
          </a:r>
          <a:endParaRPr lang="en-US" sz="24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19</xdr:col>
      <xdr:colOff>348034</xdr:colOff>
      <xdr:row>2</xdr:row>
      <xdr:rowOff>47623</xdr:rowOff>
    </xdr:from>
    <xdr:to>
      <xdr:col>24</xdr:col>
      <xdr:colOff>519484</xdr:colOff>
      <xdr:row>11</xdr:row>
      <xdr:rowOff>104773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11902592" y="963488"/>
          <a:ext cx="3212123" cy="170570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u="sng">
              <a:solidFill>
                <a:sysClr val="windowText" lastClr="000000"/>
              </a:solidFill>
            </a:rPr>
            <a:t>Development of T2 Control Limits (Refer</a:t>
          </a:r>
          <a:r>
            <a:rPr lang="en-US" sz="1100" u="sng" baseline="0">
              <a:solidFill>
                <a:sysClr val="windowText" lastClr="000000"/>
              </a:solidFill>
            </a:rPr>
            <a:t> Formula)</a:t>
          </a:r>
          <a:endParaRPr lang="en-US" sz="1100" u="sng">
            <a:solidFill>
              <a:sysClr val="windowText" lastClr="000000"/>
            </a:solidFill>
          </a:endParaRPr>
        </a:p>
        <a:p>
          <a:pPr algn="ctr"/>
          <a:endParaRPr lang="en-US" sz="1100" i="1">
            <a:solidFill>
              <a:sysClr val="windowText" lastClr="000000"/>
            </a:solidFill>
          </a:endParaRPr>
        </a:p>
        <a:p>
          <a:pPr algn="ctr"/>
          <a:r>
            <a:rPr lang="en-US" sz="1100" i="1">
              <a:solidFill>
                <a:sysClr val="windowText" lastClr="000000"/>
              </a:solidFill>
            </a:rPr>
            <a:t>Define A as number of principle</a:t>
          </a:r>
          <a:r>
            <a:rPr lang="en-US" sz="1100" i="1" baseline="0">
              <a:solidFill>
                <a:sysClr val="windowText" lastClr="000000"/>
              </a:solidFill>
            </a:rPr>
            <a:t> component, n as number of sample.</a:t>
          </a:r>
        </a:p>
        <a:p>
          <a:pPr algn="ctr"/>
          <a:endParaRPr lang="en-US" sz="1100" i="1" baseline="0">
            <a:solidFill>
              <a:sysClr val="windowText" lastClr="000000"/>
            </a:solidFill>
          </a:endParaRPr>
        </a:p>
        <a:p>
          <a:pPr algn="ctr"/>
          <a:r>
            <a:rPr lang="en-US" sz="1100" i="1" baseline="0">
              <a:solidFill>
                <a:sysClr val="windowText" lastClr="000000"/>
              </a:solidFill>
            </a:rPr>
            <a:t>Refer F distribution table with F(A,n-A,</a:t>
          </a:r>
          <a:r>
            <a:rPr lang="el-GR" sz="1100" i="1" baseline="0">
              <a:solidFill>
                <a:sysClr val="windowText" lastClr="000000"/>
              </a:solidFill>
            </a:rPr>
            <a:t>α</a:t>
          </a:r>
          <a:r>
            <a:rPr lang="en-US" sz="1100" i="1" baseline="0">
              <a:solidFill>
                <a:sysClr val="windowText" lastClr="000000"/>
              </a:solidFill>
            </a:rPr>
            <a:t>)</a:t>
          </a:r>
          <a:endParaRPr lang="en-US" sz="1100" i="1">
            <a:solidFill>
              <a:sysClr val="windowText" lastClr="000000"/>
            </a:solidFill>
          </a:endParaRPr>
        </a:p>
        <a:p>
          <a:pPr algn="ctr"/>
          <a:r>
            <a:rPr lang="en-US" sz="1100" i="1">
              <a:solidFill>
                <a:sysClr val="windowText" lastClr="000000"/>
              </a:solidFill>
            </a:rPr>
            <a:t>with </a:t>
          </a:r>
          <a:r>
            <a:rPr lang="el-GR" sz="1100" i="1">
              <a:solidFill>
                <a:sysClr val="windowText" lastClr="000000"/>
              </a:solidFill>
            </a:rPr>
            <a:t>α</a:t>
          </a:r>
          <a:r>
            <a:rPr lang="en-US" sz="1100" i="1">
              <a:solidFill>
                <a:sysClr val="windowText" lastClr="000000"/>
              </a:solidFill>
            </a:rPr>
            <a:t> as</a:t>
          </a:r>
        </a:p>
        <a:p>
          <a:pPr algn="ctr"/>
          <a:r>
            <a:rPr lang="en-US" sz="1100" i="1">
              <a:solidFill>
                <a:sysClr val="windowText" lastClr="000000"/>
              </a:solidFill>
            </a:rPr>
            <a:t>99% confidence level as Control Limit</a:t>
          </a:r>
        </a:p>
        <a:p>
          <a:pPr algn="ctr"/>
          <a:r>
            <a:rPr lang="en-US" sz="1100" i="1">
              <a:solidFill>
                <a:sysClr val="windowText" lastClr="000000"/>
              </a:solidFill>
            </a:rPr>
            <a:t>95% confidence</a:t>
          </a:r>
          <a:r>
            <a:rPr lang="en-US" sz="1100" i="1" baseline="0">
              <a:solidFill>
                <a:sysClr val="windowText" lastClr="000000"/>
              </a:solidFill>
            </a:rPr>
            <a:t> level as Warning Limit</a:t>
          </a:r>
          <a:endParaRPr lang="en-US" sz="1100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348034</xdr:colOff>
      <xdr:row>12</xdr:row>
      <xdr:rowOff>161923</xdr:rowOff>
    </xdr:from>
    <xdr:to>
      <xdr:col>24</xdr:col>
      <xdr:colOff>519484</xdr:colOff>
      <xdr:row>22</xdr:row>
      <xdr:rowOff>38098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11902592" y="2909519"/>
          <a:ext cx="3212123" cy="170790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u="sng">
              <a:solidFill>
                <a:sysClr val="windowText" lastClr="000000"/>
              </a:solidFill>
            </a:rPr>
            <a:t>Development of SPE</a:t>
          </a:r>
          <a:r>
            <a:rPr lang="en-US" sz="1100" u="sng" baseline="0">
              <a:solidFill>
                <a:sysClr val="windowText" lastClr="000000"/>
              </a:solidFill>
            </a:rPr>
            <a:t> </a:t>
          </a:r>
          <a:r>
            <a:rPr lang="en-US" sz="1100" u="sng">
              <a:solidFill>
                <a:sysClr val="windowText" lastClr="000000"/>
              </a:solidFill>
            </a:rPr>
            <a:t>Control Limits (Refer Formula)</a:t>
          </a:r>
        </a:p>
        <a:p>
          <a:pPr algn="ctr"/>
          <a:endParaRPr lang="en-US" sz="1100" i="1">
            <a:solidFill>
              <a:sysClr val="windowText" lastClr="000000"/>
            </a:solidFill>
          </a:endParaRPr>
        </a:p>
        <a:p>
          <a:pPr algn="ctr"/>
          <a:r>
            <a:rPr lang="en-US" sz="1100" i="1">
              <a:solidFill>
                <a:sysClr val="windowText" lastClr="000000"/>
              </a:solidFill>
            </a:rPr>
            <a:t>Define teta as un-utilized</a:t>
          </a:r>
          <a:r>
            <a:rPr lang="en-US" sz="1100" i="1" baseline="0">
              <a:solidFill>
                <a:sysClr val="windowText" lastClr="000000"/>
              </a:solidFill>
            </a:rPr>
            <a:t> eigenvalues by using the equations.</a:t>
          </a:r>
        </a:p>
        <a:p>
          <a:pPr algn="ctr"/>
          <a:endParaRPr lang="en-US" sz="1100" i="1" baseline="0">
            <a:solidFill>
              <a:sysClr val="windowText" lastClr="000000"/>
            </a:solidFill>
          </a:endParaRPr>
        </a:p>
        <a:p>
          <a:pPr algn="ctr"/>
          <a:r>
            <a:rPr lang="en-US" sz="1100" i="1" baseline="0">
              <a:solidFill>
                <a:sysClr val="windowText" lastClr="000000"/>
              </a:solidFill>
            </a:rPr>
            <a:t>Refer Z distribution table for </a:t>
          </a:r>
        </a:p>
        <a:p>
          <a:pPr algn="ctr"/>
          <a:r>
            <a:rPr lang="en-US" sz="1100" i="1" baseline="0">
              <a:solidFill>
                <a:sysClr val="windowText" lastClr="000000"/>
              </a:solidFill>
            </a:rPr>
            <a:t>99% confidence level as Control Limit - 2.58</a:t>
          </a:r>
        </a:p>
        <a:p>
          <a:pPr algn="ctr"/>
          <a:r>
            <a:rPr lang="en-US" sz="1100" i="1" baseline="0">
              <a:solidFill>
                <a:sysClr val="windowText" lastClr="000000"/>
              </a:solidFill>
            </a:rPr>
            <a:t>95% confidence level as Warning Limit - 1.645 </a:t>
          </a:r>
          <a:endParaRPr lang="en-US" sz="1100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71807</xdr:colOff>
      <xdr:row>6</xdr:row>
      <xdr:rowOff>167784</xdr:rowOff>
    </xdr:from>
    <xdr:to>
      <xdr:col>19</xdr:col>
      <xdr:colOff>348034</xdr:colOff>
      <xdr:row>6</xdr:row>
      <xdr:rowOff>171450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>
          <a:stCxn id="14" idx="3"/>
          <a:endCxn id="19" idx="1"/>
        </xdr:cNvCxnSpPr>
      </xdr:nvCxnSpPr>
      <xdr:spPr>
        <a:xfrm flipV="1">
          <a:off x="9801961" y="1816342"/>
          <a:ext cx="2100631" cy="3666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52757</xdr:colOff>
      <xdr:row>17</xdr:row>
      <xdr:rowOff>85725</xdr:rowOff>
    </xdr:from>
    <xdr:to>
      <xdr:col>19</xdr:col>
      <xdr:colOff>348034</xdr:colOff>
      <xdr:row>17</xdr:row>
      <xdr:rowOff>100010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>
          <a:stCxn id="15" idx="3"/>
          <a:endCxn id="20" idx="1"/>
        </xdr:cNvCxnSpPr>
      </xdr:nvCxnSpPr>
      <xdr:spPr>
        <a:xfrm>
          <a:off x="9782911" y="3749187"/>
          <a:ext cx="2119681" cy="14285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409575</xdr:colOff>
      <xdr:row>8</xdr:row>
      <xdr:rowOff>123826</xdr:rowOff>
    </xdr:from>
    <xdr:to>
      <xdr:col>4</xdr:col>
      <xdr:colOff>409576</xdr:colOff>
      <xdr:row>10</xdr:row>
      <xdr:rowOff>9525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>
          <a:cxnSpLocks/>
          <a:stCxn id="3" idx="2"/>
          <a:endCxn id="4" idx="0"/>
        </xdr:cNvCxnSpPr>
      </xdr:nvCxnSpPr>
      <xdr:spPr>
        <a:xfrm flipH="1">
          <a:off x="2847975" y="2114551"/>
          <a:ext cx="1" cy="247649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409575</xdr:colOff>
      <xdr:row>15</xdr:row>
      <xdr:rowOff>19050</xdr:rowOff>
    </xdr:from>
    <xdr:to>
      <xdr:col>4</xdr:col>
      <xdr:colOff>409576</xdr:colOff>
      <xdr:row>16</xdr:row>
      <xdr:rowOff>38101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>
          <a:cxnSpLocks/>
          <a:stCxn id="4" idx="2"/>
          <a:endCxn id="5" idx="0"/>
        </xdr:cNvCxnSpPr>
      </xdr:nvCxnSpPr>
      <xdr:spPr>
        <a:xfrm>
          <a:off x="2847975" y="3276600"/>
          <a:ext cx="1" cy="200026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409576</xdr:colOff>
      <xdr:row>21</xdr:row>
      <xdr:rowOff>47626</xdr:rowOff>
    </xdr:from>
    <xdr:to>
      <xdr:col>4</xdr:col>
      <xdr:colOff>409576</xdr:colOff>
      <xdr:row>24</xdr:row>
      <xdr:rowOff>114301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>
          <a:cxnSpLocks/>
          <a:stCxn id="5" idx="2"/>
          <a:endCxn id="6" idx="0"/>
        </xdr:cNvCxnSpPr>
      </xdr:nvCxnSpPr>
      <xdr:spPr>
        <a:xfrm>
          <a:off x="2847976" y="4391026"/>
          <a:ext cx="0" cy="60960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409576</xdr:colOff>
      <xdr:row>30</xdr:row>
      <xdr:rowOff>123825</xdr:rowOff>
    </xdr:from>
    <xdr:to>
      <xdr:col>4</xdr:col>
      <xdr:colOff>409576</xdr:colOff>
      <xdr:row>32</xdr:row>
      <xdr:rowOff>152401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>
          <a:cxnSpLocks/>
          <a:stCxn id="6" idx="2"/>
          <a:endCxn id="7" idx="0"/>
        </xdr:cNvCxnSpPr>
      </xdr:nvCxnSpPr>
      <xdr:spPr>
        <a:xfrm>
          <a:off x="2847976" y="6096000"/>
          <a:ext cx="0" cy="390526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409575</xdr:colOff>
      <xdr:row>40</xdr:row>
      <xdr:rowOff>142875</xdr:rowOff>
    </xdr:from>
    <xdr:to>
      <xdr:col>4</xdr:col>
      <xdr:colOff>409576</xdr:colOff>
      <xdr:row>43</xdr:row>
      <xdr:rowOff>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>
          <a:cxnSpLocks/>
          <a:stCxn id="7" idx="2"/>
          <a:endCxn id="10" idx="0"/>
        </xdr:cNvCxnSpPr>
      </xdr:nvCxnSpPr>
      <xdr:spPr>
        <a:xfrm flipH="1">
          <a:off x="2847975" y="7924800"/>
          <a:ext cx="1" cy="40005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409575</xdr:colOff>
      <xdr:row>51</xdr:row>
      <xdr:rowOff>161925</xdr:rowOff>
    </xdr:from>
    <xdr:to>
      <xdr:col>4</xdr:col>
      <xdr:colOff>409575</xdr:colOff>
      <xdr:row>53</xdr:row>
      <xdr:rowOff>19050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CxnSpPr>
          <a:cxnSpLocks/>
          <a:stCxn id="10" idx="2"/>
          <a:endCxn id="11" idx="0"/>
        </xdr:cNvCxnSpPr>
      </xdr:nvCxnSpPr>
      <xdr:spPr>
        <a:xfrm>
          <a:off x="2847975" y="9934575"/>
          <a:ext cx="0" cy="219075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457200</xdr:colOff>
      <xdr:row>6</xdr:row>
      <xdr:rowOff>171451</xdr:rowOff>
    </xdr:from>
    <xdr:to>
      <xdr:col>11</xdr:col>
      <xdr:colOff>128957</xdr:colOff>
      <xdr:row>48</xdr:row>
      <xdr:rowOff>176646</xdr:rowOff>
    </xdr:to>
    <xdr:cxnSp macro="">
      <xdr:nvCxnSpPr>
        <xdr:cNvPr id="63" name="Connector: Elbow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>
          <a:cxnSpLocks/>
          <a:stCxn id="16" idx="3"/>
          <a:endCxn id="14" idx="1"/>
        </xdr:cNvCxnSpPr>
      </xdr:nvCxnSpPr>
      <xdr:spPr>
        <a:xfrm flipV="1">
          <a:off x="4119995" y="1808019"/>
          <a:ext cx="2724087" cy="7642513"/>
        </a:xfrm>
        <a:prstGeom prst="bentConnector3">
          <a:avLst>
            <a:gd name="adj1" fmla="val 50000"/>
          </a:avLst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76200</xdr:colOff>
      <xdr:row>19</xdr:row>
      <xdr:rowOff>123005</xdr:rowOff>
    </xdr:from>
    <xdr:to>
      <xdr:col>9</xdr:col>
      <xdr:colOff>312128</xdr:colOff>
      <xdr:row>57</xdr:row>
      <xdr:rowOff>57150</xdr:rowOff>
    </xdr:to>
    <xdr:cxnSp macro="">
      <xdr:nvCxnSpPr>
        <xdr:cNvPr id="72" name="Connector: Elbow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CxnSpPr>
          <a:cxnSpLocks/>
          <a:stCxn id="11" idx="3"/>
        </xdr:cNvCxnSpPr>
      </xdr:nvCxnSpPr>
      <xdr:spPr>
        <a:xfrm flipV="1">
          <a:off x="4353464" y="4076779"/>
          <a:ext cx="1458004" cy="6763390"/>
        </a:xfrm>
        <a:prstGeom prst="bentConnector2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312128</xdr:colOff>
      <xdr:row>8</xdr:row>
      <xdr:rowOff>140555</xdr:rowOff>
    </xdr:from>
    <xdr:to>
      <xdr:col>11</xdr:col>
      <xdr:colOff>133067</xdr:colOff>
      <xdr:row>18</xdr:row>
      <xdr:rowOff>104481</xdr:rowOff>
    </xdr:to>
    <xdr:cxnSp macro="">
      <xdr:nvCxnSpPr>
        <xdr:cNvPr id="81" name="Connector: Elbow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CxnSpPr>
          <a:cxnSpLocks/>
        </xdr:cNvCxnSpPr>
      </xdr:nvCxnSpPr>
      <xdr:spPr>
        <a:xfrm rot="5400000" flipH="1" flipV="1">
          <a:off x="5452427" y="2476483"/>
          <a:ext cx="1761096" cy="1043014"/>
        </a:xfrm>
        <a:prstGeom prst="bentConnector2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316302</xdr:colOff>
      <xdr:row>17</xdr:row>
      <xdr:rowOff>68292</xdr:rowOff>
    </xdr:from>
    <xdr:to>
      <xdr:col>11</xdr:col>
      <xdr:colOff>109907</xdr:colOff>
      <xdr:row>17</xdr:row>
      <xdr:rowOff>68292</xdr:rowOff>
    </xdr:to>
    <xdr:cxnSp macro="">
      <xdr:nvCxnSpPr>
        <xdr:cNvPr id="17432" name="Straight Arrow Connector 17431">
          <a:extLst>
            <a:ext uri="{FF2B5EF4-FFF2-40B4-BE49-F238E27FC236}">
              <a16:creationId xmlns:a16="http://schemas.microsoft.com/office/drawing/2014/main" id="{00000000-0008-0000-0000-000018440000}"/>
            </a:ext>
          </a:extLst>
        </xdr:cNvPr>
        <xdr:cNvCxnSpPr>
          <a:endCxn id="15" idx="1"/>
        </xdr:cNvCxnSpPr>
      </xdr:nvCxnSpPr>
      <xdr:spPr>
        <a:xfrm>
          <a:off x="5815642" y="3662632"/>
          <a:ext cx="1015680" cy="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602870</xdr:colOff>
      <xdr:row>19</xdr:row>
      <xdr:rowOff>12989</xdr:rowOff>
    </xdr:from>
    <xdr:to>
      <xdr:col>11</xdr:col>
      <xdr:colOff>112568</xdr:colOff>
      <xdr:row>19</xdr:row>
      <xdr:rowOff>12989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CxnSpPr/>
      </xdr:nvCxnSpPr>
      <xdr:spPr>
        <a:xfrm flipV="1">
          <a:off x="5486597" y="4013489"/>
          <a:ext cx="1341096" cy="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495300</xdr:colOff>
      <xdr:row>21</xdr:row>
      <xdr:rowOff>14288</xdr:rowOff>
    </xdr:from>
    <xdr:to>
      <xdr:col>11</xdr:col>
      <xdr:colOff>142875</xdr:colOff>
      <xdr:row>21</xdr:row>
      <xdr:rowOff>14288</xdr:rowOff>
    </xdr:to>
    <xdr:cxnSp macro="">
      <xdr:nvCxnSpPr>
        <xdr:cNvPr id="105" name="Straight Arrow Connector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CxnSpPr>
          <a:cxnSpLocks/>
        </xdr:cNvCxnSpPr>
      </xdr:nvCxnSpPr>
      <xdr:spPr>
        <a:xfrm>
          <a:off x="5981700" y="4357688"/>
          <a:ext cx="866775" cy="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76201</xdr:colOff>
      <xdr:row>21</xdr:row>
      <xdr:rowOff>14288</xdr:rowOff>
    </xdr:from>
    <xdr:to>
      <xdr:col>8</xdr:col>
      <xdr:colOff>485775</xdr:colOff>
      <xdr:row>27</xdr:row>
      <xdr:rowOff>119063</xdr:rowOff>
    </xdr:to>
    <xdr:cxnSp macro="">
      <xdr:nvCxnSpPr>
        <xdr:cNvPr id="17444" name="Connector: Elbow 17443">
          <a:extLst>
            <a:ext uri="{FF2B5EF4-FFF2-40B4-BE49-F238E27FC236}">
              <a16:creationId xmlns:a16="http://schemas.microsoft.com/office/drawing/2014/main" id="{00000000-0008-0000-0000-000024440000}"/>
            </a:ext>
          </a:extLst>
        </xdr:cNvPr>
        <xdr:cNvCxnSpPr>
          <a:cxnSpLocks/>
          <a:stCxn id="6" idx="3"/>
        </xdr:cNvCxnSpPr>
      </xdr:nvCxnSpPr>
      <xdr:spPr>
        <a:xfrm flipV="1">
          <a:off x="4343401" y="4357688"/>
          <a:ext cx="1019174" cy="1190625"/>
        </a:xfrm>
        <a:prstGeom prst="bentConnector3">
          <a:avLst>
            <a:gd name="adj1" fmla="val 70561"/>
          </a:avLst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371475</xdr:colOff>
      <xdr:row>18</xdr:row>
      <xdr:rowOff>66675</xdr:rowOff>
    </xdr:from>
    <xdr:to>
      <xdr:col>21</xdr:col>
      <xdr:colOff>485775</xdr:colOff>
      <xdr:row>32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142875</xdr:colOff>
      <xdr:row>3</xdr:row>
      <xdr:rowOff>76200</xdr:rowOff>
    </xdr:from>
    <xdr:to>
      <xdr:col>18</xdr:col>
      <xdr:colOff>447675</xdr:colOff>
      <xdr:row>7</xdr:row>
      <xdr:rowOff>123825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1306175" y="647700"/>
          <a:ext cx="304800" cy="952500"/>
        </a:xfrm>
        <a:prstGeom prst="rightBrac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390525</xdr:colOff>
          <xdr:row>3</xdr:row>
          <xdr:rowOff>66675</xdr:rowOff>
        </xdr:from>
        <xdr:to>
          <xdr:col>2</xdr:col>
          <xdr:colOff>466725</xdr:colOff>
          <xdr:row>5</xdr:row>
          <xdr:rowOff>104775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8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12</xdr:col>
      <xdr:colOff>15240</xdr:colOff>
      <xdr:row>2</xdr:row>
      <xdr:rowOff>7620</xdr:rowOff>
    </xdr:from>
    <xdr:to>
      <xdr:col>25</xdr:col>
      <xdr:colOff>7620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200025</xdr:colOff>
          <xdr:row>0</xdr:row>
          <xdr:rowOff>133350</xdr:rowOff>
        </xdr:from>
        <xdr:to>
          <xdr:col>6</xdr:col>
          <xdr:colOff>276225</xdr:colOff>
          <xdr:row>3</xdr:row>
          <xdr:rowOff>171450</xdr:rowOff>
        </xdr:to>
        <xdr:sp macro="" textlink="">
          <xdr:nvSpPr>
            <xdr:cNvPr id="16386" name="Object 2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00000000-0008-0000-0900-00000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447675</xdr:colOff>
          <xdr:row>1</xdr:row>
          <xdr:rowOff>47625</xdr:rowOff>
        </xdr:from>
        <xdr:to>
          <xdr:col>8</xdr:col>
          <xdr:colOff>66675</xdr:colOff>
          <xdr:row>3</xdr:row>
          <xdr:rowOff>114300</xdr:rowOff>
        </xdr:to>
        <xdr:sp macro="" textlink="">
          <xdr:nvSpPr>
            <xdr:cNvPr id="16387" name="Object 3" hidden="1">
              <a:extLst>
                <a:ext uri="{63B3BB69-23CF-44E3-9099-C40C66FF867C}">
                  <a14:compatExt spid="_x0000_s16387"/>
                </a:ext>
                <a:ext uri="{FF2B5EF4-FFF2-40B4-BE49-F238E27FC236}">
                  <a16:creationId xmlns:a16="http://schemas.microsoft.com/office/drawing/2014/main" id="{00000000-0008-0000-0900-00000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oneCellAnchor>
    <xdr:from>
      <xdr:col>3</xdr:col>
      <xdr:colOff>152400</xdr:colOff>
      <xdr:row>6</xdr:row>
      <xdr:rowOff>22860</xdr:rowOff>
    </xdr:from>
    <xdr:ext cx="18934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0000000-0008-0000-0900-000006000000}"/>
                </a:ext>
              </a:extLst>
            </xdr:cNvPr>
            <xdr:cNvSpPr txBox="1"/>
          </xdr:nvSpPr>
          <xdr:spPr>
            <a:xfrm>
              <a:off x="2305050" y="8023860"/>
              <a:ext cx="1893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MY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𝜃</m:t>
                    </m:r>
                    <m:r>
                      <a:rPr lang="en-MY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</m:oMath>
                </m:oMathPara>
              </a14:m>
              <a:endParaRPr lang="en-MY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3A1A330-BE98-45EB-BD7C-C806569024B9}"/>
                </a:ext>
              </a:extLst>
            </xdr:cNvPr>
            <xdr:cNvSpPr txBox="1"/>
          </xdr:nvSpPr>
          <xdr:spPr>
            <a:xfrm>
              <a:off x="2305050" y="8023860"/>
              <a:ext cx="1893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MY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</a:t>
              </a:r>
              <a:r>
                <a:rPr lang="en-MY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endParaRPr lang="en-MY" sz="1100"/>
            </a:p>
          </xdr:txBody>
        </xdr:sp>
      </mc:Fallback>
    </mc:AlternateContent>
    <xdr:clientData/>
  </xdr:oneCellAnchor>
  <xdr:oneCellAnchor>
    <xdr:from>
      <xdr:col>3</xdr:col>
      <xdr:colOff>144780</xdr:colOff>
      <xdr:row>7</xdr:row>
      <xdr:rowOff>0</xdr:rowOff>
    </xdr:from>
    <xdr:ext cx="18934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0000000-0008-0000-0900-000007000000}"/>
                </a:ext>
              </a:extLst>
            </xdr:cNvPr>
            <xdr:cNvSpPr txBox="1"/>
          </xdr:nvSpPr>
          <xdr:spPr>
            <a:xfrm>
              <a:off x="2297430" y="8191500"/>
              <a:ext cx="1893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MY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𝜃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2</m:t>
                    </m:r>
                  </m:oMath>
                </m:oMathPara>
              </a14:m>
              <a:endParaRPr lang="en-MY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844BB44A-ED96-43A2-8872-CAF3384015EF}"/>
                </a:ext>
              </a:extLst>
            </xdr:cNvPr>
            <xdr:cNvSpPr txBox="1"/>
          </xdr:nvSpPr>
          <xdr:spPr>
            <a:xfrm>
              <a:off x="2297430" y="8191500"/>
              <a:ext cx="1893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MY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endParaRPr lang="en-MY" sz="1100"/>
            </a:p>
          </xdr:txBody>
        </xdr:sp>
      </mc:Fallback>
    </mc:AlternateContent>
    <xdr:clientData/>
  </xdr:oneCellAnchor>
  <xdr:oneCellAnchor>
    <xdr:from>
      <xdr:col>3</xdr:col>
      <xdr:colOff>152400</xdr:colOff>
      <xdr:row>7</xdr:row>
      <xdr:rowOff>167640</xdr:rowOff>
    </xdr:from>
    <xdr:ext cx="18934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900-000008000000}"/>
                </a:ext>
              </a:extLst>
            </xdr:cNvPr>
            <xdr:cNvSpPr txBox="1"/>
          </xdr:nvSpPr>
          <xdr:spPr>
            <a:xfrm>
              <a:off x="2305050" y="8359140"/>
              <a:ext cx="1893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MY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𝜃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</m:t>
                    </m:r>
                  </m:oMath>
                </m:oMathPara>
              </a14:m>
              <a:endParaRPr lang="en-MY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8A469694-2BF6-4AB2-994D-DD98CA2794FD}"/>
                </a:ext>
              </a:extLst>
            </xdr:cNvPr>
            <xdr:cNvSpPr txBox="1"/>
          </xdr:nvSpPr>
          <xdr:spPr>
            <a:xfrm>
              <a:off x="2305050" y="8359140"/>
              <a:ext cx="1893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MY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3</a:t>
              </a:r>
              <a:endParaRPr lang="en-MY" sz="1100"/>
            </a:p>
          </xdr:txBody>
        </xdr:sp>
      </mc:Fallback>
    </mc:AlternateContent>
    <xdr:clientData/>
  </xdr:oneCellAnchor>
  <xdr:oneCellAnchor>
    <xdr:from>
      <xdr:col>3</xdr:col>
      <xdr:colOff>152400</xdr:colOff>
      <xdr:row>9</xdr:row>
      <xdr:rowOff>0</xdr:rowOff>
    </xdr:from>
    <xdr:ext cx="17549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0000000-0008-0000-0900-000009000000}"/>
                </a:ext>
              </a:extLst>
            </xdr:cNvPr>
            <xdr:cNvSpPr txBox="1"/>
          </xdr:nvSpPr>
          <xdr:spPr>
            <a:xfrm>
              <a:off x="2305050" y="8572500"/>
              <a:ext cx="17549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MY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n-MY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87BE004-DD06-4E73-B844-7D877533A600}"/>
                </a:ext>
              </a:extLst>
            </xdr:cNvPr>
            <xdr:cNvSpPr txBox="1"/>
          </xdr:nvSpPr>
          <xdr:spPr>
            <a:xfrm>
              <a:off x="2305050" y="8572500"/>
              <a:ext cx="17549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ℎ</a:t>
              </a:r>
              <a:r>
                <a:rPr lang="en-MY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0</a:t>
              </a:r>
              <a:endParaRPr lang="en-MY" sz="1100"/>
            </a:p>
          </xdr:txBody>
        </xdr:sp>
      </mc:Fallback>
    </mc:AlternateContent>
    <xdr:clientData/>
  </xdr:oneCellAnchor>
  <xdr:oneCellAnchor>
    <xdr:from>
      <xdr:col>3</xdr:col>
      <xdr:colOff>60960</xdr:colOff>
      <xdr:row>10</xdr:row>
      <xdr:rowOff>0</xdr:rowOff>
    </xdr:from>
    <xdr:ext cx="18396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900-00000A000000}"/>
                </a:ext>
              </a:extLst>
            </xdr:cNvPr>
            <xdr:cNvSpPr txBox="1"/>
          </xdr:nvSpPr>
          <xdr:spPr>
            <a:xfrm>
              <a:off x="2213610" y="8763000"/>
              <a:ext cx="18396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MY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</m:sSub>
                  </m:oMath>
                </m:oMathPara>
              </a14:m>
              <a:endParaRPr lang="en-MY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AC05DA0-BC96-40CB-851E-AC6356A4BB87}"/>
                </a:ext>
              </a:extLst>
            </xdr:cNvPr>
            <xdr:cNvSpPr txBox="1"/>
          </xdr:nvSpPr>
          <xdr:spPr>
            <a:xfrm>
              <a:off x="2213610" y="8763000"/>
              <a:ext cx="18396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𝑍</a:t>
              </a:r>
              <a:r>
                <a:rPr lang="en-MY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endParaRPr lang="en-MY" sz="1100"/>
            </a:p>
          </xdr:txBody>
        </xdr:sp>
      </mc:Fallback>
    </mc:AlternateContent>
    <xdr:clientData/>
  </xdr:oneCellAnchor>
  <xdr:oneCellAnchor>
    <xdr:from>
      <xdr:col>3</xdr:col>
      <xdr:colOff>76200</xdr:colOff>
      <xdr:row>12</xdr:row>
      <xdr:rowOff>0</xdr:rowOff>
    </xdr:from>
    <xdr:ext cx="34714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900-00000B000000}"/>
                </a:ext>
              </a:extLst>
            </xdr:cNvPr>
            <xdr:cNvSpPr txBox="1"/>
          </xdr:nvSpPr>
          <xdr:spPr>
            <a:xfrm>
              <a:off x="2228850" y="9144000"/>
              <a:ext cx="34714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MY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𝑆𝑃𝐸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</m:sSub>
                  </m:oMath>
                </m:oMathPara>
              </a14:m>
              <a:endParaRPr lang="en-MY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4CDFDCEA-37AB-4E8B-BE38-B52089B758CB}"/>
                </a:ext>
              </a:extLst>
            </xdr:cNvPr>
            <xdr:cNvSpPr txBox="1"/>
          </xdr:nvSpPr>
          <xdr:spPr>
            <a:xfrm>
              <a:off x="2228850" y="9144000"/>
              <a:ext cx="34714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MY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𝑆𝑃𝐸</a:t>
              </a:r>
              <a:r>
                <a:rPr lang="en-MY" sz="1100" b="0" i="0">
                  <a:latin typeface="Cambria Math" panose="02040503050406030204" pitchFamily="18" charset="0"/>
                </a:rPr>
                <a:t>〗_</a:t>
              </a:r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endParaRPr lang="en-MY" sz="1100"/>
            </a:p>
          </xdr:txBody>
        </xdr:sp>
      </mc:Fallback>
    </mc:AlternateContent>
    <xdr:clientData/>
  </xdr:oneCellAnchor>
  <xdr:oneCellAnchor>
    <xdr:from>
      <xdr:col>3</xdr:col>
      <xdr:colOff>45720</xdr:colOff>
      <xdr:row>11</xdr:row>
      <xdr:rowOff>0</xdr:rowOff>
    </xdr:from>
    <xdr:ext cx="18396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0000000-0008-0000-0900-00000C000000}"/>
                </a:ext>
              </a:extLst>
            </xdr:cNvPr>
            <xdr:cNvSpPr txBox="1"/>
          </xdr:nvSpPr>
          <xdr:spPr>
            <a:xfrm>
              <a:off x="2198370" y="8953500"/>
              <a:ext cx="18396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MY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</m:sSub>
                  </m:oMath>
                </m:oMathPara>
              </a14:m>
              <a:endParaRPr lang="en-MY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615E186-788D-4A0F-A60B-63C1801A6D2F}"/>
                </a:ext>
              </a:extLst>
            </xdr:cNvPr>
            <xdr:cNvSpPr txBox="1"/>
          </xdr:nvSpPr>
          <xdr:spPr>
            <a:xfrm>
              <a:off x="2198370" y="8953500"/>
              <a:ext cx="18396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𝑍</a:t>
              </a:r>
              <a:r>
                <a:rPr lang="en-MY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endParaRPr lang="en-MY" sz="1100"/>
            </a:p>
          </xdr:txBody>
        </xdr:sp>
      </mc:Fallback>
    </mc:AlternateContent>
    <xdr:clientData/>
  </xdr:oneCellAnchor>
  <xdr:oneCellAnchor>
    <xdr:from>
      <xdr:col>3</xdr:col>
      <xdr:colOff>83820</xdr:colOff>
      <xdr:row>13</xdr:row>
      <xdr:rowOff>7620</xdr:rowOff>
    </xdr:from>
    <xdr:ext cx="34714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0000000-0008-0000-0900-00000D000000}"/>
                </a:ext>
              </a:extLst>
            </xdr:cNvPr>
            <xdr:cNvSpPr txBox="1"/>
          </xdr:nvSpPr>
          <xdr:spPr>
            <a:xfrm>
              <a:off x="2236470" y="9342120"/>
              <a:ext cx="34714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MY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𝑆𝑃𝐸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</m:sSub>
                  </m:oMath>
                </m:oMathPara>
              </a14:m>
              <a:endParaRPr lang="en-MY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BBC58DAB-3C6C-4946-8363-0D876E42DC2A}"/>
                </a:ext>
              </a:extLst>
            </xdr:cNvPr>
            <xdr:cNvSpPr txBox="1"/>
          </xdr:nvSpPr>
          <xdr:spPr>
            <a:xfrm>
              <a:off x="2236470" y="9342120"/>
              <a:ext cx="34714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MY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𝑆𝑃𝐸</a:t>
              </a:r>
              <a:r>
                <a:rPr lang="en-MY" sz="1100" b="0" i="0">
                  <a:latin typeface="Cambria Math" panose="02040503050406030204" pitchFamily="18" charset="0"/>
                </a:rPr>
                <a:t>〗_</a:t>
              </a:r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endParaRPr lang="en-MY" sz="1100"/>
            </a:p>
          </xdr:txBody>
        </xdr:sp>
      </mc:Fallback>
    </mc:AlternateContent>
    <xdr:clientData/>
  </xdr:oneCellAnchor>
  <xdr:twoCellAnchor>
    <xdr:from>
      <xdr:col>12</xdr:col>
      <xdr:colOff>22860</xdr:colOff>
      <xdr:row>4</xdr:row>
      <xdr:rowOff>167640</xdr:rowOff>
    </xdr:from>
    <xdr:to>
      <xdr:col>25</xdr:col>
      <xdr:colOff>15240</xdr:colOff>
      <xdr:row>28</xdr:row>
      <xdr:rowOff>7620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Relationship Id="rId5" Type="http://schemas.openxmlformats.org/officeDocument/2006/relationships/image" Target="../media/image2.wmf"/><Relationship Id="rId4" Type="http://schemas.openxmlformats.org/officeDocument/2006/relationships/oleObject" Target="../embeddings/oleObject2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image" Target="../media/image4.w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Relationship Id="rId6" Type="http://schemas.openxmlformats.org/officeDocument/2006/relationships/oleObject" Target="../embeddings/oleObject4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7FECF-3066-423F-AFDF-572E2BD15513}">
  <sheetPr>
    <tabColor rgb="FFFF0000"/>
  </sheetPr>
  <dimension ref="B1"/>
  <sheetViews>
    <sheetView tabSelected="1" zoomScaleNormal="100" workbookViewId="0">
      <selection activeCell="Q31" sqref="Q31"/>
    </sheetView>
  </sheetViews>
  <sheetFormatPr defaultRowHeight="14.25" x14ac:dyDescent="0.2"/>
  <cols>
    <col min="1" max="1" width="1.7109375" style="31" customWidth="1"/>
    <col min="2" max="16384" width="9.140625" style="31"/>
  </cols>
  <sheetData>
    <row r="1" spans="2:2" ht="20.25" x14ac:dyDescent="0.3">
      <c r="B1" s="32" t="s">
        <v>60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  <drawing r:id="rId2"/>
  <legacyDrawing r:id="rId3"/>
  <oleObjects>
    <mc:AlternateContent xmlns:mc="http://schemas.openxmlformats.org/markup-compatibility/2006">
      <mc:Choice Requires="x14">
        <oleObject progId="Word.OpenDocumentText.12" dvAspect="DVASPECT_ICON" shapeId="17409" r:id="rId4">
          <objectPr defaultSize="0" r:id="rId5">
            <anchor moveWithCells="1">
              <from>
                <xdr:col>4</xdr:col>
                <xdr:colOff>104775</xdr:colOff>
                <xdr:row>36</xdr:row>
                <xdr:rowOff>28575</xdr:rowOff>
              </from>
              <to>
                <xdr:col>5</xdr:col>
                <xdr:colOff>409575</xdr:colOff>
                <xdr:row>39</xdr:row>
                <xdr:rowOff>171450</xdr:rowOff>
              </to>
            </anchor>
          </objectPr>
        </oleObject>
      </mc:Choice>
      <mc:Fallback>
        <oleObject progId="Word.OpenDocumentText.12" dvAspect="DVASPECT_ICON" shapeId="17409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41D1A-C494-4955-A7B8-A83ABAFE0354}">
  <sheetPr>
    <tabColor theme="5" tint="0.79998168889431442"/>
  </sheetPr>
  <dimension ref="A1:AS35"/>
  <sheetViews>
    <sheetView topLeftCell="A2" workbookViewId="0">
      <selection activeCell="B18" sqref="B18:N18"/>
    </sheetView>
  </sheetViews>
  <sheetFormatPr defaultColWidth="8.7109375" defaultRowHeight="15" x14ac:dyDescent="0.25"/>
  <cols>
    <col min="16" max="16" width="11.7109375" bestFit="1" customWidth="1"/>
    <col min="17" max="17" width="10.28515625" customWidth="1"/>
    <col min="18" max="29" width="9.5703125" bestFit="1" customWidth="1"/>
  </cols>
  <sheetData>
    <row r="1" spans="1:45" s="22" customFormat="1" ht="61.5" x14ac:dyDescent="0.25">
      <c r="A1" s="22" t="s">
        <v>4</v>
      </c>
      <c r="B1" s="23" t="s">
        <v>52</v>
      </c>
      <c r="P1" s="22" t="s">
        <v>3</v>
      </c>
      <c r="Q1" s="23" t="s">
        <v>51</v>
      </c>
    </row>
    <row r="2" spans="1:45" x14ac:dyDescent="0.25"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/>
      <c r="Q2" s="2" t="s">
        <v>5</v>
      </c>
      <c r="R2" s="2" t="s">
        <v>6</v>
      </c>
      <c r="S2" s="2" t="s">
        <v>7</v>
      </c>
      <c r="T2" s="2" t="s">
        <v>8</v>
      </c>
      <c r="U2" s="2" t="s">
        <v>9</v>
      </c>
      <c r="V2" s="2" t="s">
        <v>10</v>
      </c>
      <c r="W2" s="2" t="s">
        <v>11</v>
      </c>
      <c r="X2" s="2" t="s">
        <v>12</v>
      </c>
      <c r="Y2" s="2" t="s">
        <v>13</v>
      </c>
      <c r="Z2" s="2" t="s">
        <v>14</v>
      </c>
      <c r="AA2" s="2" t="s">
        <v>15</v>
      </c>
      <c r="AB2" s="2" t="s">
        <v>16</v>
      </c>
      <c r="AC2" s="2" t="s">
        <v>17</v>
      </c>
    </row>
    <row r="3" spans="1:45" x14ac:dyDescent="0.25">
      <c r="A3">
        <v>1</v>
      </c>
      <c r="B3">
        <v>49.994999999999997</v>
      </c>
      <c r="C3">
        <v>29.956</v>
      </c>
      <c r="D3">
        <v>19.797000000000001</v>
      </c>
      <c r="E3">
        <v>299.05799999999999</v>
      </c>
      <c r="F3">
        <v>199.87899999999999</v>
      </c>
      <c r="G3">
        <v>299.28899999999999</v>
      </c>
      <c r="H3">
        <v>85.367999999999995</v>
      </c>
      <c r="I3">
        <v>0.109</v>
      </c>
      <c r="J3">
        <v>0.8</v>
      </c>
      <c r="K3">
        <v>234.53299999999999</v>
      </c>
      <c r="L3">
        <v>24.936</v>
      </c>
      <c r="M3">
        <v>66.778999999999996</v>
      </c>
      <c r="N3">
        <v>21.460999999999999</v>
      </c>
      <c r="Q3">
        <f t="shared" ref="Q3:Q32" si="0">(B3-B$34)/B$35</f>
        <v>2.3172450429664152E-2</v>
      </c>
      <c r="R3">
        <f t="shared" ref="R3:R32" si="1">(C3-C$34)/C$35</f>
        <v>-0.72172112833975577</v>
      </c>
      <c r="S3">
        <f t="shared" ref="S3:S32" si="2">(D3-D$34)/D$35</f>
        <v>-1.1699384146911589</v>
      </c>
      <c r="T3">
        <f t="shared" ref="T3:T32" si="3">(E3-E$34)/E$35</f>
        <v>-1.3286950678911154</v>
      </c>
      <c r="U3">
        <f t="shared" ref="U3:U32" si="4">(F3-F$34)/F$35</f>
        <v>-0.15417617146348278</v>
      </c>
      <c r="V3">
        <f t="shared" ref="V3:V32" si="5">(G3-G$34)/G$35</f>
        <v>-0.39000887813107282</v>
      </c>
      <c r="W3">
        <f t="shared" ref="W3:W32" si="6">(H3-H$34)/H$35</f>
        <v>-0.31573423778279475</v>
      </c>
      <c r="X3">
        <f t="shared" ref="X3:X32" si="7">(I3-I$34)/I$35</f>
        <v>-0.79399923338042055</v>
      </c>
      <c r="Y3">
        <f t="shared" ref="Y3:Y32" si="8">(J3-J$34)/J$35</f>
        <v>-4.3296604858100281E-2</v>
      </c>
      <c r="Z3">
        <f t="shared" ref="Z3:Z32" si="9">(K3-K$34)/K$35</f>
        <v>0.46587065656463267</v>
      </c>
      <c r="AA3">
        <f t="shared" ref="AA3:AA32" si="10">(L3-L$34)/L$35</f>
        <v>0.37426320400861068</v>
      </c>
      <c r="AB3">
        <f t="shared" ref="AB3:AB32" si="11">(M3-M$34)/M$35</f>
        <v>0.15248039113808745</v>
      </c>
      <c r="AC3">
        <f t="shared" ref="AC3:AC32" si="12">(N3-N$34)/N$35</f>
        <v>-3.7006977554947591E-2</v>
      </c>
      <c r="AF3" s="3"/>
      <c r="AG3" s="3" t="s">
        <v>18</v>
      </c>
      <c r="AH3" s="3" t="s">
        <v>19</v>
      </c>
      <c r="AI3" s="3" t="s">
        <v>20</v>
      </c>
      <c r="AJ3" s="3" t="s">
        <v>21</v>
      </c>
      <c r="AK3" s="3" t="s">
        <v>22</v>
      </c>
      <c r="AL3" s="3" t="s">
        <v>23</v>
      </c>
      <c r="AM3" s="3" t="s">
        <v>24</v>
      </c>
      <c r="AN3" s="3" t="s">
        <v>25</v>
      </c>
      <c r="AO3" s="3" t="s">
        <v>26</v>
      </c>
      <c r="AP3" s="3" t="s">
        <v>27</v>
      </c>
      <c r="AQ3" s="3" t="s">
        <v>28</v>
      </c>
      <c r="AR3" s="3" t="s">
        <v>29</v>
      </c>
      <c r="AS3" s="3" t="s">
        <v>30</v>
      </c>
    </row>
    <row r="4" spans="1:45" x14ac:dyDescent="0.25">
      <c r="A4">
        <v>2</v>
      </c>
      <c r="B4">
        <v>50.064999999999998</v>
      </c>
      <c r="C4">
        <v>29.954999999999998</v>
      </c>
      <c r="D4">
        <v>19.824999999999999</v>
      </c>
      <c r="E4">
        <v>300.29399999999998</v>
      </c>
      <c r="F4">
        <v>200.92699999999999</v>
      </c>
      <c r="G4">
        <v>299.33600000000001</v>
      </c>
      <c r="H4">
        <v>84.866</v>
      </c>
      <c r="I4">
        <v>0.109</v>
      </c>
      <c r="J4">
        <v>0.80100000000000005</v>
      </c>
      <c r="K4">
        <v>234.54300000000001</v>
      </c>
      <c r="L4">
        <v>24.972999999999999</v>
      </c>
      <c r="M4">
        <v>67.013000000000005</v>
      </c>
      <c r="N4">
        <v>21.350999999999999</v>
      </c>
      <c r="Q4">
        <f t="shared" si="0"/>
        <v>1.0369671567298377</v>
      </c>
      <c r="R4">
        <f t="shared" si="1"/>
        <v>-0.73665328961576937</v>
      </c>
      <c r="S4">
        <f t="shared" si="2"/>
        <v>-0.95541139693509936</v>
      </c>
      <c r="T4">
        <f t="shared" si="3"/>
        <v>0.75902106912327238</v>
      </c>
      <c r="U4">
        <f t="shared" si="4"/>
        <v>1.8307946847241041</v>
      </c>
      <c r="V4">
        <f t="shared" si="5"/>
        <v>-0.36268810516976918</v>
      </c>
      <c r="W4">
        <f t="shared" si="6"/>
        <v>-0.88227273665190875</v>
      </c>
      <c r="X4">
        <f t="shared" si="7"/>
        <v>-0.79399923338042055</v>
      </c>
      <c r="Y4">
        <f t="shared" si="8"/>
        <v>0.38966944372343126</v>
      </c>
      <c r="Z4">
        <f t="shared" si="9"/>
        <v>0.68984693375981643</v>
      </c>
      <c r="AA4">
        <f t="shared" si="10"/>
        <v>0.46155720620435642</v>
      </c>
      <c r="AB4">
        <f t="shared" si="11"/>
        <v>1.5143281593178539</v>
      </c>
      <c r="AC4">
        <f t="shared" si="12"/>
        <v>-0.57499387593091</v>
      </c>
      <c r="AF4" s="4" t="s">
        <v>18</v>
      </c>
      <c r="AG4" s="4">
        <v>1</v>
      </c>
      <c r="AH4" s="4">
        <v>-0.44786540679046877</v>
      </c>
      <c r="AI4" s="4">
        <v>7.5315172703734001E-2</v>
      </c>
      <c r="AJ4" s="4">
        <v>0.24693390201914572</v>
      </c>
      <c r="AK4" s="4">
        <v>0.52077398349720161</v>
      </c>
      <c r="AL4" s="4">
        <v>0.46119826629703276</v>
      </c>
      <c r="AM4" s="4">
        <v>-0.3302549171150464</v>
      </c>
      <c r="AN4" s="4">
        <v>4.9169495187837552E-2</v>
      </c>
      <c r="AO4" s="4">
        <v>-0.29929996650846019</v>
      </c>
      <c r="AP4" s="4">
        <v>-0.39546837384977562</v>
      </c>
      <c r="AQ4" s="4">
        <v>-0.49355789870764644</v>
      </c>
      <c r="AR4" s="4">
        <v>0.55701559295429914</v>
      </c>
      <c r="AS4" s="4">
        <v>-0.33355342787351289</v>
      </c>
    </row>
    <row r="5" spans="1:45" x14ac:dyDescent="0.25">
      <c r="A5">
        <v>3</v>
      </c>
      <c r="B5">
        <v>49.886000000000003</v>
      </c>
      <c r="C5">
        <v>30.172999999999998</v>
      </c>
      <c r="D5">
        <v>20.106999999999999</v>
      </c>
      <c r="E5">
        <v>299.69</v>
      </c>
      <c r="F5">
        <v>199.126</v>
      </c>
      <c r="G5">
        <v>297.58800000000002</v>
      </c>
      <c r="H5">
        <v>86.53</v>
      </c>
      <c r="I5">
        <v>0.109</v>
      </c>
      <c r="J5">
        <v>0.80400000000000005</v>
      </c>
      <c r="K5">
        <v>234.55500000000001</v>
      </c>
      <c r="L5">
        <v>25.356999999999999</v>
      </c>
      <c r="M5">
        <v>66.552999999999997</v>
      </c>
      <c r="N5">
        <v>21.721</v>
      </c>
      <c r="Q5">
        <f t="shared" si="0"/>
        <v>-1.5554507350948079</v>
      </c>
      <c r="R5">
        <f t="shared" si="1"/>
        <v>2.518557868551218</v>
      </c>
      <c r="S5">
        <f t="shared" si="2"/>
        <v>1.2051821390367439</v>
      </c>
      <c r="T5">
        <f t="shared" si="3"/>
        <v>-0.26118972922354722</v>
      </c>
      <c r="U5">
        <f t="shared" si="4"/>
        <v>-1.5804004603081605</v>
      </c>
      <c r="V5">
        <f t="shared" si="5"/>
        <v>-1.3787883421130149</v>
      </c>
      <c r="W5">
        <f t="shared" si="6"/>
        <v>0.9956556739421456</v>
      </c>
      <c r="X5">
        <f t="shared" si="7"/>
        <v>-0.79399923338042055</v>
      </c>
      <c r="Y5">
        <f t="shared" si="8"/>
        <v>1.6885675894680259</v>
      </c>
      <c r="Z5">
        <f t="shared" si="9"/>
        <v>0.95861846639352777</v>
      </c>
      <c r="AA5">
        <f t="shared" si="10"/>
        <v>1.3675273911548229</v>
      </c>
      <c r="AB5">
        <f t="shared" si="11"/>
        <v>-1.1628084789841959</v>
      </c>
      <c r="AC5">
        <f t="shared" si="12"/>
        <v>1.2345984186064323</v>
      </c>
      <c r="AF5" s="4" t="s">
        <v>19</v>
      </c>
      <c r="AG5" s="4">
        <v>-0.44786540679046877</v>
      </c>
      <c r="AH5" s="4">
        <v>1</v>
      </c>
      <c r="AI5" s="4">
        <v>0.15837656463503358</v>
      </c>
      <c r="AJ5" s="4">
        <v>-0.14960281421030652</v>
      </c>
      <c r="AK5" s="4">
        <v>-0.31212013625546031</v>
      </c>
      <c r="AL5" s="4">
        <v>-0.19991338012536231</v>
      </c>
      <c r="AM5" s="4">
        <v>-6.5636139281286351E-2</v>
      </c>
      <c r="AN5" s="4">
        <v>5.8054127380383985E-2</v>
      </c>
      <c r="AO5" s="4">
        <v>9.2963950568124135E-2</v>
      </c>
      <c r="AP5" s="4">
        <v>0.33251904747187444</v>
      </c>
      <c r="AQ5" s="4">
        <v>0.18643079097037901</v>
      </c>
      <c r="AR5" s="4">
        <v>-0.25292104777335783</v>
      </c>
      <c r="AS5" s="4">
        <v>-8.4011436183590124E-2</v>
      </c>
    </row>
    <row r="6" spans="1:45" x14ac:dyDescent="0.25">
      <c r="A6">
        <v>4</v>
      </c>
      <c r="B6">
        <v>50.006</v>
      </c>
      <c r="C6">
        <v>29.99</v>
      </c>
      <c r="D6">
        <v>20.007999999999999</v>
      </c>
      <c r="E6">
        <v>300.76900000000001</v>
      </c>
      <c r="F6">
        <v>200.352</v>
      </c>
      <c r="G6">
        <v>303.55799999999999</v>
      </c>
      <c r="H6">
        <v>84.085999999999999</v>
      </c>
      <c r="I6">
        <v>0.109</v>
      </c>
      <c r="J6">
        <v>0.79900000000000004</v>
      </c>
      <c r="K6">
        <v>234.59100000000001</v>
      </c>
      <c r="L6">
        <v>23.939</v>
      </c>
      <c r="M6">
        <v>66.918000000000006</v>
      </c>
      <c r="N6">
        <v>21.006</v>
      </c>
      <c r="Q6">
        <f t="shared" si="0"/>
        <v>0.18248304713401683</v>
      </c>
      <c r="R6">
        <f t="shared" si="1"/>
        <v>-0.21402764495592977</v>
      </c>
      <c r="S6">
        <f t="shared" si="2"/>
        <v>0.44667589768492516</v>
      </c>
      <c r="T6">
        <f t="shared" si="3"/>
        <v>1.5613391638497203</v>
      </c>
      <c r="U6">
        <f t="shared" si="4"/>
        <v>0.74171239244563281</v>
      </c>
      <c r="V6">
        <f t="shared" si="5"/>
        <v>2.0915311170123738</v>
      </c>
      <c r="W6">
        <f t="shared" si="6"/>
        <v>-1.7625516791178721</v>
      </c>
      <c r="X6">
        <f t="shared" si="7"/>
        <v>-0.79399923338042055</v>
      </c>
      <c r="Y6">
        <f t="shared" si="8"/>
        <v>-0.47626265343963181</v>
      </c>
      <c r="Z6">
        <f t="shared" si="9"/>
        <v>1.7649330642946615</v>
      </c>
      <c r="AA6">
        <f t="shared" si="10"/>
        <v>-1.977956260563301</v>
      </c>
      <c r="AB6">
        <f t="shared" si="11"/>
        <v>0.96144124488592497</v>
      </c>
      <c r="AC6">
        <f t="shared" si="12"/>
        <v>-2.2623164208373407</v>
      </c>
      <c r="AF6" s="4" t="s">
        <v>20</v>
      </c>
      <c r="AG6" s="4">
        <v>7.5315172703734001E-2</v>
      </c>
      <c r="AH6" s="4">
        <v>0.15837656463503358</v>
      </c>
      <c r="AI6" s="4">
        <v>1</v>
      </c>
      <c r="AJ6" s="4">
        <v>-0.29100648511072796</v>
      </c>
      <c r="AK6" s="4">
        <v>2.4887981350526695E-3</v>
      </c>
      <c r="AL6" s="4">
        <v>0.16410330249019436</v>
      </c>
      <c r="AM6" s="4">
        <v>0.14270487145475069</v>
      </c>
      <c r="AN6" s="4">
        <v>0.16592909054362925</v>
      </c>
      <c r="AO6" s="4">
        <v>-0.10467630011334972</v>
      </c>
      <c r="AP6" s="4">
        <v>8.609640380174742E-2</v>
      </c>
      <c r="AQ6" s="4">
        <v>-0.15111293370199433</v>
      </c>
      <c r="AR6" s="4">
        <v>-5.0656914083562654E-2</v>
      </c>
      <c r="AS6" s="4">
        <v>6.366190197483193E-2</v>
      </c>
    </row>
    <row r="7" spans="1:45" x14ac:dyDescent="0.25">
      <c r="A7">
        <v>5</v>
      </c>
      <c r="B7">
        <v>49.994</v>
      </c>
      <c r="C7">
        <v>30.123999999999999</v>
      </c>
      <c r="D7">
        <v>20.25</v>
      </c>
      <c r="E7">
        <v>299.38400000000001</v>
      </c>
      <c r="F7">
        <v>199.65199999999999</v>
      </c>
      <c r="G7">
        <v>300.44900000000001</v>
      </c>
      <c r="H7">
        <v>85.634</v>
      </c>
      <c r="I7">
        <v>0.11</v>
      </c>
      <c r="J7">
        <v>0.79900000000000004</v>
      </c>
      <c r="K7">
        <v>234.53899999999999</v>
      </c>
      <c r="L7">
        <v>24.643999999999998</v>
      </c>
      <c r="M7">
        <v>66.655000000000001</v>
      </c>
      <c r="N7">
        <v>21.428999999999998</v>
      </c>
      <c r="Q7">
        <f t="shared" si="0"/>
        <v>8.6896689111240575E-3</v>
      </c>
      <c r="R7">
        <f t="shared" si="1"/>
        <v>1.7868819660274531</v>
      </c>
      <c r="S7">
        <f t="shared" si="2"/>
        <v>2.3008022654338185</v>
      </c>
      <c r="T7">
        <f t="shared" si="3"/>
        <v>-0.77805149129990048</v>
      </c>
      <c r="U7">
        <f t="shared" si="4"/>
        <v>-0.58412691989343424</v>
      </c>
      <c r="V7">
        <f t="shared" si="5"/>
        <v>0.28429105027521828</v>
      </c>
      <c r="W7">
        <f t="shared" si="6"/>
        <v>-1.5536547146960568E-2</v>
      </c>
      <c r="X7">
        <f t="shared" si="7"/>
        <v>0.79399923338042055</v>
      </c>
      <c r="Y7">
        <f t="shared" si="8"/>
        <v>-0.47626265343963181</v>
      </c>
      <c r="Z7">
        <f t="shared" si="9"/>
        <v>0.60025642288148828</v>
      </c>
      <c r="AA7">
        <f t="shared" si="10"/>
        <v>-0.3146516241308096</v>
      </c>
      <c r="AB7">
        <f t="shared" si="11"/>
        <v>-0.56918252875199005</v>
      </c>
      <c r="AC7">
        <f t="shared" si="12"/>
        <v>-0.19351225708250122</v>
      </c>
      <c r="AF7" s="4" t="s">
        <v>21</v>
      </c>
      <c r="AG7" s="4">
        <v>0.24693390201914572</v>
      </c>
      <c r="AH7" s="4">
        <v>-0.14960281421030652</v>
      </c>
      <c r="AI7" s="4">
        <v>-0.29100648511072796</v>
      </c>
      <c r="AJ7" s="4">
        <v>1</v>
      </c>
      <c r="AK7" s="4">
        <v>0.18841664731457911</v>
      </c>
      <c r="AL7" s="4">
        <v>0.25715094973232078</v>
      </c>
      <c r="AM7" s="4">
        <v>-3.6612033527385408E-2</v>
      </c>
      <c r="AN7" s="4">
        <v>-1.484499634388089E-2</v>
      </c>
      <c r="AO7" s="4">
        <v>-1.9390038994070082E-2</v>
      </c>
      <c r="AP7" s="4">
        <v>-1.6438232536891615E-2</v>
      </c>
      <c r="AQ7" s="4">
        <v>-0.25161576959321308</v>
      </c>
      <c r="AR7" s="4">
        <v>0.21419756467949413</v>
      </c>
      <c r="AS7" s="4">
        <v>-5.6715889115574958E-2</v>
      </c>
    </row>
    <row r="8" spans="1:45" x14ac:dyDescent="0.25">
      <c r="A8">
        <v>6</v>
      </c>
      <c r="B8">
        <v>50.04</v>
      </c>
      <c r="C8">
        <v>30.036999999999999</v>
      </c>
      <c r="D8">
        <v>20.149000000000001</v>
      </c>
      <c r="E8">
        <v>299.178</v>
      </c>
      <c r="F8">
        <v>199.82900000000001</v>
      </c>
      <c r="G8">
        <v>303.02100000000002</v>
      </c>
      <c r="H8">
        <v>84.268000000000001</v>
      </c>
      <c r="I8">
        <v>0.11</v>
      </c>
      <c r="J8">
        <v>0.80100000000000005</v>
      </c>
      <c r="K8">
        <v>234.53100000000001</v>
      </c>
      <c r="L8">
        <v>23.957999999999998</v>
      </c>
      <c r="M8">
        <v>66.697999999999993</v>
      </c>
      <c r="N8">
        <v>21.117999999999999</v>
      </c>
      <c r="Q8">
        <f t="shared" si="0"/>
        <v>0.67489761876551202</v>
      </c>
      <c r="R8">
        <f t="shared" si="1"/>
        <v>0.48778393501586093</v>
      </c>
      <c r="S8">
        <f t="shared" si="2"/>
        <v>1.5269726656708604</v>
      </c>
      <c r="T8">
        <f t="shared" si="3"/>
        <v>-1.1260041808023304</v>
      </c>
      <c r="U8">
        <f t="shared" si="4"/>
        <v>-0.24887897948766724</v>
      </c>
      <c r="V8">
        <f t="shared" si="5"/>
        <v>1.7793767536036194</v>
      </c>
      <c r="W8">
        <f t="shared" si="6"/>
        <v>-1.5571532592091453</v>
      </c>
      <c r="X8">
        <f t="shared" si="7"/>
        <v>0.79399923338042055</v>
      </c>
      <c r="Y8">
        <f t="shared" si="8"/>
        <v>0.38966944372343126</v>
      </c>
      <c r="Z8">
        <f t="shared" si="9"/>
        <v>0.4210754011261052</v>
      </c>
      <c r="AA8">
        <f t="shared" si="10"/>
        <v>-1.9331296107871101</v>
      </c>
      <c r="AB8">
        <f t="shared" si="11"/>
        <v>-0.3189284516933702</v>
      </c>
      <c r="AC8">
        <f t="shared" si="12"/>
        <v>-1.7145479424909116</v>
      </c>
      <c r="AF8" s="4" t="s">
        <v>22</v>
      </c>
      <c r="AG8" s="4">
        <v>0.52077398349720161</v>
      </c>
      <c r="AH8" s="4">
        <v>-0.31212013625546031</v>
      </c>
      <c r="AI8" s="4">
        <v>2.4887981350526695E-3</v>
      </c>
      <c r="AJ8" s="4">
        <v>0.18841664731457911</v>
      </c>
      <c r="AK8" s="4">
        <v>1</v>
      </c>
      <c r="AL8" s="4">
        <v>0.28115796641289048</v>
      </c>
      <c r="AM8" s="4">
        <v>-0.23726702551304818</v>
      </c>
      <c r="AN8" s="4">
        <v>-3.7441404781027754E-2</v>
      </c>
      <c r="AO8" s="4">
        <v>0.12484171616537244</v>
      </c>
      <c r="AP8" s="4">
        <v>3.2050242861983005E-2</v>
      </c>
      <c r="AQ8" s="4">
        <v>-0.29644651562130964</v>
      </c>
      <c r="AR8" s="4">
        <v>0.95674194228986287</v>
      </c>
      <c r="AS8" s="4">
        <v>-0.21384528018185966</v>
      </c>
    </row>
    <row r="9" spans="1:45" x14ac:dyDescent="0.25">
      <c r="A9">
        <v>7</v>
      </c>
      <c r="B9">
        <v>50.106000000000002</v>
      </c>
      <c r="C9">
        <v>30.016999999999999</v>
      </c>
      <c r="D9">
        <v>19.995999999999999</v>
      </c>
      <c r="E9">
        <v>300.34699999999998</v>
      </c>
      <c r="F9">
        <v>199.52699999999999</v>
      </c>
      <c r="G9">
        <v>301.46199999999999</v>
      </c>
      <c r="H9">
        <v>85.869</v>
      </c>
      <c r="I9">
        <v>0.109</v>
      </c>
      <c r="J9">
        <v>0.79600000000000004</v>
      </c>
      <c r="K9">
        <v>234.48099999999999</v>
      </c>
      <c r="L9">
        <v>24.423999999999999</v>
      </c>
      <c r="M9">
        <v>66.686999999999998</v>
      </c>
      <c r="N9">
        <v>21.466999999999999</v>
      </c>
      <c r="Q9">
        <f t="shared" si="0"/>
        <v>1.6307611989914224</v>
      </c>
      <c r="R9">
        <f t="shared" si="1"/>
        <v>0.18914070949596015</v>
      </c>
      <c r="S9">
        <f t="shared" si="2"/>
        <v>0.35473574721803475</v>
      </c>
      <c r="T9">
        <f t="shared" si="3"/>
        <v>0.8485428775874776</v>
      </c>
      <c r="U9">
        <f t="shared" si="4"/>
        <v>-0.82088393995397613</v>
      </c>
      <c r="V9">
        <f t="shared" si="5"/>
        <v>0.87314090154723767</v>
      </c>
      <c r="W9">
        <f t="shared" si="6"/>
        <v>0.24967569833957867</v>
      </c>
      <c r="X9">
        <f t="shared" si="7"/>
        <v>-0.79399923338042055</v>
      </c>
      <c r="Y9">
        <f t="shared" si="8"/>
        <v>-1.7751607991842264</v>
      </c>
      <c r="Z9">
        <f t="shared" si="9"/>
        <v>-0.6988059848479039</v>
      </c>
      <c r="AA9">
        <f t="shared" si="10"/>
        <v>-0.83369704259201116</v>
      </c>
      <c r="AB9">
        <f t="shared" si="11"/>
        <v>-0.38294693652230599</v>
      </c>
      <c r="AC9">
        <f t="shared" si="12"/>
        <v>-7.6622376435301993E-3</v>
      </c>
      <c r="AF9" s="4" t="s">
        <v>23</v>
      </c>
      <c r="AG9" s="4">
        <v>0.46119826629703276</v>
      </c>
      <c r="AH9" s="4">
        <v>-0.19991338012536231</v>
      </c>
      <c r="AI9" s="4">
        <v>0.16410330249019436</v>
      </c>
      <c r="AJ9" s="4">
        <v>0.25715094973232078</v>
      </c>
      <c r="AK9" s="4">
        <v>0.28115796641289048</v>
      </c>
      <c r="AL9" s="4">
        <v>1</v>
      </c>
      <c r="AM9" s="4">
        <v>-0.44092475022975353</v>
      </c>
      <c r="AN9" s="4">
        <v>0.11379501865323632</v>
      </c>
      <c r="AO9" s="4">
        <v>-0.3857111141507843</v>
      </c>
      <c r="AP9" s="4">
        <v>0.2909353802700782</v>
      </c>
      <c r="AQ9" s="4">
        <v>-0.99502286789705474</v>
      </c>
      <c r="AR9" s="4">
        <v>0.30992191210630227</v>
      </c>
      <c r="AS9" s="4">
        <v>-0.54055265982890677</v>
      </c>
    </row>
    <row r="10" spans="1:45" x14ac:dyDescent="0.25">
      <c r="A10">
        <v>8</v>
      </c>
      <c r="B10">
        <v>50.031999999999996</v>
      </c>
      <c r="C10">
        <v>29.97</v>
      </c>
      <c r="D10">
        <v>19.815999999999999</v>
      </c>
      <c r="E10">
        <v>300.464</v>
      </c>
      <c r="F10">
        <v>200.03299999999999</v>
      </c>
      <c r="G10">
        <v>300.43900000000002</v>
      </c>
      <c r="H10">
        <v>86.394999999999996</v>
      </c>
      <c r="I10">
        <v>0.11</v>
      </c>
      <c r="J10">
        <v>0.80100000000000005</v>
      </c>
      <c r="K10">
        <v>234.46100000000001</v>
      </c>
      <c r="L10">
        <v>24.594999999999999</v>
      </c>
      <c r="M10">
        <v>66.713999999999999</v>
      </c>
      <c r="N10">
        <v>21.614000000000001</v>
      </c>
      <c r="Q10">
        <f t="shared" si="0"/>
        <v>0.55903536661688258</v>
      </c>
      <c r="R10">
        <f t="shared" si="1"/>
        <v>-0.5126708704758306</v>
      </c>
      <c r="S10">
        <f t="shared" si="2"/>
        <v>-1.0243665097852672</v>
      </c>
      <c r="T10">
        <f t="shared" si="3"/>
        <v>1.0461664924990668</v>
      </c>
      <c r="U10">
        <f t="shared" si="4"/>
        <v>0.13750847725109797</v>
      </c>
      <c r="V10">
        <f t="shared" si="5"/>
        <v>0.27847811985792809</v>
      </c>
      <c r="W10">
        <f t="shared" si="6"/>
        <v>0.84329970313072333</v>
      </c>
      <c r="X10">
        <f t="shared" si="7"/>
        <v>0.79399923338042055</v>
      </c>
      <c r="Y10">
        <f t="shared" si="8"/>
        <v>0.38966944372343126</v>
      </c>
      <c r="Z10">
        <f t="shared" si="9"/>
        <v>-1.1467585392369983</v>
      </c>
      <c r="AA10">
        <f t="shared" si="10"/>
        <v>-0.43025719460625844</v>
      </c>
      <c r="AB10">
        <f t="shared" si="11"/>
        <v>-0.22581065557848679</v>
      </c>
      <c r="AC10">
        <f t="shared" si="12"/>
        <v>0.71128389018617855</v>
      </c>
      <c r="AF10" s="4" t="s">
        <v>24</v>
      </c>
      <c r="AG10" s="4">
        <v>-0.3302549171150464</v>
      </c>
      <c r="AH10" s="4">
        <v>-6.5636139281286351E-2</v>
      </c>
      <c r="AI10" s="4">
        <v>0.14270487145475069</v>
      </c>
      <c r="AJ10" s="4">
        <v>-3.6612033527385408E-2</v>
      </c>
      <c r="AK10" s="4">
        <v>-0.23726702551304818</v>
      </c>
      <c r="AL10" s="4">
        <v>-0.44092475022975353</v>
      </c>
      <c r="AM10" s="4">
        <v>1</v>
      </c>
      <c r="AN10" s="4">
        <v>2.8890789262723017E-2</v>
      </c>
      <c r="AO10" s="4">
        <v>0.15030744378065394</v>
      </c>
      <c r="AP10" s="4">
        <v>-0.14657125862723097</v>
      </c>
      <c r="AQ10" s="4">
        <v>0.4530475011243133</v>
      </c>
      <c r="AR10" s="4">
        <v>-0.25743733470783337</v>
      </c>
      <c r="AS10" s="4">
        <v>0.9548269787218252</v>
      </c>
    </row>
    <row r="11" spans="1:45" x14ac:dyDescent="0.25">
      <c r="A11">
        <v>9</v>
      </c>
      <c r="B11">
        <v>50.018000000000001</v>
      </c>
      <c r="C11">
        <v>29.959</v>
      </c>
      <c r="D11">
        <v>19.788</v>
      </c>
      <c r="E11">
        <v>299.51</v>
      </c>
      <c r="F11">
        <v>199.55600000000001</v>
      </c>
      <c r="G11">
        <v>298.75599999999997</v>
      </c>
      <c r="H11">
        <v>84.995000000000005</v>
      </c>
      <c r="I11">
        <v>0.109</v>
      </c>
      <c r="J11">
        <v>0.80100000000000005</v>
      </c>
      <c r="K11">
        <v>234.45099999999999</v>
      </c>
      <c r="L11">
        <v>25.029</v>
      </c>
      <c r="M11">
        <v>66.602999999999994</v>
      </c>
      <c r="N11">
        <v>21.385999999999999</v>
      </c>
      <c r="Q11">
        <f t="shared" si="0"/>
        <v>0.35627642535690957</v>
      </c>
      <c r="R11">
        <f t="shared" si="1"/>
        <v>-0.67692464451176804</v>
      </c>
      <c r="S11">
        <f t="shared" si="2"/>
        <v>-1.2388935275413266</v>
      </c>
      <c r="T11">
        <f t="shared" si="3"/>
        <v>-0.56522605985672447</v>
      </c>
      <c r="U11">
        <f t="shared" si="4"/>
        <v>-0.7659563112998834</v>
      </c>
      <c r="V11">
        <f t="shared" si="5"/>
        <v>-0.69983806937293125</v>
      </c>
      <c r="W11">
        <f t="shared" si="6"/>
        <v>-0.736688142320994</v>
      </c>
      <c r="X11">
        <f t="shared" si="7"/>
        <v>-0.79399923338042055</v>
      </c>
      <c r="Y11">
        <f t="shared" si="8"/>
        <v>0.38966944372343126</v>
      </c>
      <c r="Z11">
        <f t="shared" si="9"/>
        <v>-1.370734816432182</v>
      </c>
      <c r="AA11">
        <f t="shared" si="10"/>
        <v>0.59367785817630148</v>
      </c>
      <c r="AB11">
        <f t="shared" si="11"/>
        <v>-0.87181536612529908</v>
      </c>
      <c r="AC11">
        <f t="shared" si="12"/>
        <v>-0.40381622644764764</v>
      </c>
      <c r="AF11" s="4" t="s">
        <v>25</v>
      </c>
      <c r="AG11" s="4">
        <v>4.9169495187837552E-2</v>
      </c>
      <c r="AH11" s="4">
        <v>5.8054127380383985E-2</v>
      </c>
      <c r="AI11" s="4">
        <v>0.16592909054362925</v>
      </c>
      <c r="AJ11" s="4">
        <v>-1.484499634388089E-2</v>
      </c>
      <c r="AK11" s="4">
        <v>-3.7441404781027754E-2</v>
      </c>
      <c r="AL11" s="4">
        <v>0.11379501865323632</v>
      </c>
      <c r="AM11" s="4">
        <v>2.8890789262723017E-2</v>
      </c>
      <c r="AN11" s="4">
        <v>1</v>
      </c>
      <c r="AO11" s="4">
        <v>-0.13039730404097746</v>
      </c>
      <c r="AP11" s="4">
        <v>-0.13245789777871261</v>
      </c>
      <c r="AQ11" s="4">
        <v>-0.13791218705056271</v>
      </c>
      <c r="AR11" s="4">
        <v>-9.2100636089475357E-2</v>
      </c>
      <c r="AS11" s="4">
        <v>-2.9057673077990176E-2</v>
      </c>
    </row>
    <row r="12" spans="1:45" x14ac:dyDescent="0.25">
      <c r="A12">
        <v>10</v>
      </c>
      <c r="B12">
        <v>50</v>
      </c>
      <c r="C12">
        <v>30.091000000000001</v>
      </c>
      <c r="D12">
        <v>19.844999999999999</v>
      </c>
      <c r="E12">
        <v>299.14299999999997</v>
      </c>
      <c r="F12">
        <v>200.46899999999999</v>
      </c>
      <c r="G12">
        <v>298.40100000000001</v>
      </c>
      <c r="H12">
        <v>85.323999999999998</v>
      </c>
      <c r="I12">
        <v>0.11</v>
      </c>
      <c r="J12">
        <v>0.80200000000000005</v>
      </c>
      <c r="K12">
        <v>234.46700000000001</v>
      </c>
      <c r="L12">
        <v>25.125</v>
      </c>
      <c r="M12">
        <v>67.003</v>
      </c>
      <c r="N12">
        <v>21.448</v>
      </c>
      <c r="Q12">
        <f t="shared" si="0"/>
        <v>9.5586358022570442E-2</v>
      </c>
      <c r="R12">
        <f t="shared" si="1"/>
        <v>1.2941206439196407</v>
      </c>
      <c r="S12">
        <f t="shared" si="2"/>
        <v>-0.80217781282362444</v>
      </c>
      <c r="T12">
        <f t="shared" si="3"/>
        <v>-1.185122356203266</v>
      </c>
      <c r="U12">
        <f t="shared" si="4"/>
        <v>0.96331696322228144</v>
      </c>
      <c r="V12">
        <f t="shared" si="5"/>
        <v>-0.90619709918689861</v>
      </c>
      <c r="W12">
        <f t="shared" si="6"/>
        <v>-0.36539099863984553</v>
      </c>
      <c r="X12">
        <f t="shared" si="7"/>
        <v>0.79399923338042055</v>
      </c>
      <c r="Y12">
        <f t="shared" si="8"/>
        <v>0.8226354923049628</v>
      </c>
      <c r="Z12">
        <f t="shared" si="9"/>
        <v>-1.0123727729201426</v>
      </c>
      <c r="AA12">
        <f t="shared" si="10"/>
        <v>0.82017040441391809</v>
      </c>
      <c r="AB12">
        <f t="shared" si="11"/>
        <v>1.4561295367460414</v>
      </c>
      <c r="AC12">
        <f t="shared" si="12"/>
        <v>-0.10058724736300703</v>
      </c>
      <c r="AF12" s="4" t="s">
        <v>26</v>
      </c>
      <c r="AG12" s="4">
        <v>-0.29929996650846019</v>
      </c>
      <c r="AH12" s="4">
        <v>9.2963950568124135E-2</v>
      </c>
      <c r="AI12" s="4">
        <v>-0.10467630011334972</v>
      </c>
      <c r="AJ12" s="4">
        <v>-1.9390038994070082E-2</v>
      </c>
      <c r="AK12" s="4">
        <v>0.12484171616537244</v>
      </c>
      <c r="AL12" s="4">
        <v>-0.3857111141507843</v>
      </c>
      <c r="AM12" s="4">
        <v>0.15030744378065394</v>
      </c>
      <c r="AN12" s="4">
        <v>-0.13039730404097746</v>
      </c>
      <c r="AO12" s="4">
        <v>1</v>
      </c>
      <c r="AP12" s="4">
        <v>-5.5041175045392271E-2</v>
      </c>
      <c r="AQ12" s="4">
        <v>0.38059166866180039</v>
      </c>
      <c r="AR12" s="4">
        <v>0.16210151855076266</v>
      </c>
      <c r="AS12" s="4">
        <v>0.28362703391513344</v>
      </c>
    </row>
    <row r="13" spans="1:45" x14ac:dyDescent="0.25">
      <c r="A13">
        <v>11</v>
      </c>
      <c r="B13">
        <v>50.027000000000001</v>
      </c>
      <c r="C13">
        <v>29.937000000000001</v>
      </c>
      <c r="D13">
        <v>20.058</v>
      </c>
      <c r="E13">
        <v>300.22000000000003</v>
      </c>
      <c r="F13">
        <v>200.22800000000001</v>
      </c>
      <c r="G13">
        <v>303.05099999999999</v>
      </c>
      <c r="H13">
        <v>85.331999999999994</v>
      </c>
      <c r="I13">
        <v>0.109</v>
      </c>
      <c r="J13">
        <v>0.79800000000000004</v>
      </c>
      <c r="K13">
        <v>234.489</v>
      </c>
      <c r="L13">
        <v>24.056999999999999</v>
      </c>
      <c r="M13">
        <v>66.766000000000005</v>
      </c>
      <c r="N13">
        <v>21.484999999999999</v>
      </c>
      <c r="Q13">
        <f t="shared" si="0"/>
        <v>0.48662145902407916</v>
      </c>
      <c r="R13">
        <f t="shared" si="1"/>
        <v>-1.0054321925836429</v>
      </c>
      <c r="S13">
        <f t="shared" si="2"/>
        <v>0.82975985796362617</v>
      </c>
      <c r="T13">
        <f t="shared" si="3"/>
        <v>0.6340283554186017</v>
      </c>
      <c r="U13">
        <f t="shared" si="4"/>
        <v>0.50684942854558424</v>
      </c>
      <c r="V13">
        <f t="shared" si="5"/>
        <v>1.7968155448554899</v>
      </c>
      <c r="W13">
        <f t="shared" si="6"/>
        <v>-0.35636249666584069</v>
      </c>
      <c r="X13">
        <f t="shared" si="7"/>
        <v>-0.79399923338042055</v>
      </c>
      <c r="Y13">
        <f t="shared" si="8"/>
        <v>-0.90922870202116335</v>
      </c>
      <c r="Z13">
        <f t="shared" si="9"/>
        <v>-0.51962496309188422</v>
      </c>
      <c r="AA13">
        <f t="shared" si="10"/>
        <v>-1.6995591724795676</v>
      </c>
      <c r="AB13">
        <f t="shared" si="11"/>
        <v>7.6822181794822225E-2</v>
      </c>
      <c r="AC13">
        <f t="shared" si="12"/>
        <v>8.037198209072198E-2</v>
      </c>
      <c r="AF13" s="4" t="s">
        <v>27</v>
      </c>
      <c r="AG13" s="4">
        <v>-0.39546837384977562</v>
      </c>
      <c r="AH13" s="4">
        <v>0.33251904747187444</v>
      </c>
      <c r="AI13" s="4">
        <v>8.609640380174742E-2</v>
      </c>
      <c r="AJ13" s="4">
        <v>-1.6438232536891615E-2</v>
      </c>
      <c r="AK13" s="4">
        <v>3.2050242861983005E-2</v>
      </c>
      <c r="AL13" s="4">
        <v>0.2909353802700782</v>
      </c>
      <c r="AM13" s="4">
        <v>-0.14657125862723097</v>
      </c>
      <c r="AN13" s="4">
        <v>-0.13245789777871261</v>
      </c>
      <c r="AO13" s="4">
        <v>-5.5041175045392271E-2</v>
      </c>
      <c r="AP13" s="4">
        <v>1</v>
      </c>
      <c r="AQ13" s="4">
        <v>-0.26207993347621938</v>
      </c>
      <c r="AR13" s="4">
        <v>6.7293534872705438E-2</v>
      </c>
      <c r="AS13" s="4">
        <v>-0.25878904047902407</v>
      </c>
    </row>
    <row r="14" spans="1:45" x14ac:dyDescent="0.25">
      <c r="A14">
        <v>12</v>
      </c>
      <c r="B14">
        <v>50.058</v>
      </c>
      <c r="C14">
        <v>30.033000000000001</v>
      </c>
      <c r="D14">
        <v>19.937999999999999</v>
      </c>
      <c r="E14">
        <v>299.334</v>
      </c>
      <c r="F14">
        <v>200.21</v>
      </c>
      <c r="G14">
        <v>298.42700000000002</v>
      </c>
      <c r="H14">
        <v>84.641999999999996</v>
      </c>
      <c r="I14">
        <v>0.109</v>
      </c>
      <c r="J14">
        <v>0.8</v>
      </c>
      <c r="K14">
        <v>234.446</v>
      </c>
      <c r="L14">
        <v>25.108000000000001</v>
      </c>
      <c r="M14">
        <v>66.789000000000001</v>
      </c>
      <c r="N14">
        <v>21.280999999999999</v>
      </c>
      <c r="Q14">
        <f t="shared" si="0"/>
        <v>0.93558768609985121</v>
      </c>
      <c r="R14">
        <f t="shared" si="1"/>
        <v>0.42805528991191261</v>
      </c>
      <c r="S14">
        <f t="shared" si="2"/>
        <v>-8.9641646705250835E-2</v>
      </c>
      <c r="T14">
        <f t="shared" si="3"/>
        <v>-0.8625060275869102</v>
      </c>
      <c r="U14">
        <f t="shared" si="4"/>
        <v>0.47275641765686494</v>
      </c>
      <c r="V14">
        <f t="shared" si="5"/>
        <v>-0.89108348010192429</v>
      </c>
      <c r="W14">
        <f t="shared" si="6"/>
        <v>-1.1350707919241891</v>
      </c>
      <c r="X14">
        <f t="shared" si="7"/>
        <v>-0.79399923338042055</v>
      </c>
      <c r="Y14">
        <f t="shared" si="8"/>
        <v>-4.3296604858100281E-2</v>
      </c>
      <c r="Z14">
        <f t="shared" si="9"/>
        <v>-1.4827229550294556</v>
      </c>
      <c r="AA14">
        <f t="shared" si="10"/>
        <v>0.78006234935100816</v>
      </c>
      <c r="AB14">
        <f t="shared" si="11"/>
        <v>0.21067901370989991</v>
      </c>
      <c r="AC14">
        <f t="shared" si="12"/>
        <v>-0.91734917489743462</v>
      </c>
      <c r="AF14" s="4" t="s">
        <v>28</v>
      </c>
      <c r="AG14" s="4">
        <v>-0.49355789870764644</v>
      </c>
      <c r="AH14" s="4">
        <v>0.18643079097037901</v>
      </c>
      <c r="AI14" s="4">
        <v>-0.15111293370199433</v>
      </c>
      <c r="AJ14" s="4">
        <v>-0.25161576959321308</v>
      </c>
      <c r="AK14" s="4">
        <v>-0.29644651562130964</v>
      </c>
      <c r="AL14" s="4">
        <v>-0.99502286789705474</v>
      </c>
      <c r="AM14" s="4">
        <v>0.4530475011243133</v>
      </c>
      <c r="AN14" s="4">
        <v>-0.13791218705056271</v>
      </c>
      <c r="AO14" s="4">
        <v>0.38059166866180039</v>
      </c>
      <c r="AP14" s="4">
        <v>-0.26207993347621938</v>
      </c>
      <c r="AQ14" s="4">
        <v>1</v>
      </c>
      <c r="AR14" s="4">
        <v>-0.32744457910236463</v>
      </c>
      <c r="AS14" s="4">
        <v>0.55095148417006379</v>
      </c>
    </row>
    <row r="15" spans="1:45" x14ac:dyDescent="0.25">
      <c r="A15">
        <v>13</v>
      </c>
      <c r="B15">
        <v>50.140999999999998</v>
      </c>
      <c r="C15">
        <v>29.937000000000001</v>
      </c>
      <c r="D15">
        <v>19.914000000000001</v>
      </c>
      <c r="E15">
        <v>300.06799999999998</v>
      </c>
      <c r="F15">
        <v>200.48500000000001</v>
      </c>
      <c r="G15">
        <v>301.64400000000001</v>
      </c>
      <c r="H15">
        <v>85.274000000000001</v>
      </c>
      <c r="I15">
        <v>0.11</v>
      </c>
      <c r="J15">
        <v>0.79600000000000004</v>
      </c>
      <c r="K15">
        <v>234.46700000000001</v>
      </c>
      <c r="L15">
        <v>24.331</v>
      </c>
      <c r="M15">
        <v>66.947000000000003</v>
      </c>
      <c r="N15">
        <v>21.452000000000002</v>
      </c>
      <c r="Q15">
        <f t="shared" si="0"/>
        <v>2.1376585521414575</v>
      </c>
      <c r="R15">
        <f t="shared" si="1"/>
        <v>-1.0054321925836429</v>
      </c>
      <c r="S15">
        <f t="shared" si="2"/>
        <v>-0.27352194763900445</v>
      </c>
      <c r="T15">
        <f t="shared" si="3"/>
        <v>0.37728656510607694</v>
      </c>
      <c r="U15">
        <f t="shared" si="4"/>
        <v>0.99362186179006784</v>
      </c>
      <c r="V15">
        <f t="shared" si="5"/>
        <v>0.9789362351420251</v>
      </c>
      <c r="W15">
        <f t="shared" si="6"/>
        <v>-0.421819135977404</v>
      </c>
      <c r="X15">
        <f t="shared" si="7"/>
        <v>0.79399923338042055</v>
      </c>
      <c r="Y15">
        <f t="shared" si="8"/>
        <v>-1.7751607991842264</v>
      </c>
      <c r="Z15">
        <f t="shared" si="9"/>
        <v>-1.0123727729201426</v>
      </c>
      <c r="AA15">
        <f t="shared" si="10"/>
        <v>-1.0531116967597021</v>
      </c>
      <c r="AB15">
        <f t="shared" si="11"/>
        <v>1.1302172503440737</v>
      </c>
      <c r="AC15">
        <f t="shared" si="12"/>
        <v>-8.1024087422056301E-2</v>
      </c>
      <c r="AF15" s="4" t="s">
        <v>29</v>
      </c>
      <c r="AG15" s="4">
        <v>0.55701559295429914</v>
      </c>
      <c r="AH15" s="4">
        <v>-0.25292104777335783</v>
      </c>
      <c r="AI15" s="4">
        <v>-5.0656914083562654E-2</v>
      </c>
      <c r="AJ15" s="4">
        <v>0.21419756467949413</v>
      </c>
      <c r="AK15" s="4">
        <v>0.95674194228986287</v>
      </c>
      <c r="AL15" s="4">
        <v>0.30992191210630227</v>
      </c>
      <c r="AM15" s="4">
        <v>-0.25743733470783337</v>
      </c>
      <c r="AN15" s="4">
        <v>-9.2100636089475357E-2</v>
      </c>
      <c r="AO15" s="4">
        <v>0.16210151855076266</v>
      </c>
      <c r="AP15" s="4">
        <v>6.7293534872705438E-2</v>
      </c>
      <c r="AQ15" s="4">
        <v>-0.32744457910236463</v>
      </c>
      <c r="AR15" s="4">
        <v>1</v>
      </c>
      <c r="AS15" s="4">
        <v>-0.23746853105559068</v>
      </c>
    </row>
    <row r="16" spans="1:45" x14ac:dyDescent="0.25">
      <c r="A16">
        <v>14</v>
      </c>
      <c r="B16">
        <v>50.034999999999997</v>
      </c>
      <c r="C16">
        <v>29.965</v>
      </c>
      <c r="D16">
        <v>20.113</v>
      </c>
      <c r="E16">
        <v>300.10500000000002</v>
      </c>
      <c r="F16">
        <v>199.95500000000001</v>
      </c>
      <c r="G16">
        <v>298.23899999999998</v>
      </c>
      <c r="H16">
        <v>86.885999999999996</v>
      </c>
      <c r="I16">
        <v>0.109</v>
      </c>
      <c r="J16">
        <v>0.80200000000000005</v>
      </c>
      <c r="K16">
        <v>234.441</v>
      </c>
      <c r="L16">
        <v>25.259</v>
      </c>
      <c r="M16">
        <v>66.745999999999995</v>
      </c>
      <c r="N16">
        <v>21.728999999999999</v>
      </c>
      <c r="Q16">
        <f t="shared" si="0"/>
        <v>0.6024837111726058</v>
      </c>
      <c r="R16">
        <f t="shared" si="1"/>
        <v>-0.58733167685579246</v>
      </c>
      <c r="S16">
        <f t="shared" si="2"/>
        <v>1.2511522142701892</v>
      </c>
      <c r="T16">
        <f t="shared" si="3"/>
        <v>0.43978292195850827</v>
      </c>
      <c r="U16">
        <f t="shared" si="4"/>
        <v>-1.0227903266631947E-2</v>
      </c>
      <c r="V16">
        <f t="shared" si="5"/>
        <v>-1.0003665719471055</v>
      </c>
      <c r="W16">
        <f t="shared" si="6"/>
        <v>1.3974240117855785</v>
      </c>
      <c r="X16">
        <f t="shared" si="7"/>
        <v>-0.79399923338042055</v>
      </c>
      <c r="Y16">
        <f t="shared" si="8"/>
        <v>0.8226354923049628</v>
      </c>
      <c r="Z16">
        <f t="shared" si="9"/>
        <v>-1.5947110936267292</v>
      </c>
      <c r="AA16">
        <f t="shared" si="10"/>
        <v>1.1363162502039252</v>
      </c>
      <c r="AB16">
        <f t="shared" si="11"/>
        <v>-3.9575063348802696E-2</v>
      </c>
      <c r="AC16">
        <f t="shared" si="12"/>
        <v>1.2737247384883164</v>
      </c>
      <c r="AF16" s="4" t="s">
        <v>30</v>
      </c>
      <c r="AG16" s="4">
        <v>-0.33355342787351289</v>
      </c>
      <c r="AH16" s="4">
        <v>-8.4011436183590124E-2</v>
      </c>
      <c r="AI16" s="4">
        <v>6.366190197483193E-2</v>
      </c>
      <c r="AJ16" s="4">
        <v>-5.6715889115574958E-2</v>
      </c>
      <c r="AK16" s="4">
        <v>-0.21384528018185966</v>
      </c>
      <c r="AL16" s="4">
        <v>-0.54055265982890677</v>
      </c>
      <c r="AM16" s="4">
        <v>0.9548269787218252</v>
      </c>
      <c r="AN16" s="4">
        <v>-2.9057673077990176E-2</v>
      </c>
      <c r="AO16" s="4">
        <v>0.28362703391513344</v>
      </c>
      <c r="AP16" s="4">
        <v>-0.25878904047902407</v>
      </c>
      <c r="AQ16" s="4">
        <v>0.55095148417006379</v>
      </c>
      <c r="AR16" s="4">
        <v>-0.23746853105559068</v>
      </c>
      <c r="AS16" s="4">
        <v>1</v>
      </c>
    </row>
    <row r="17" spans="1:29" x14ac:dyDescent="0.25">
      <c r="A17">
        <v>15</v>
      </c>
      <c r="B17">
        <v>49.981999999999999</v>
      </c>
      <c r="C17">
        <v>29.93</v>
      </c>
      <c r="D17">
        <v>19.901</v>
      </c>
      <c r="E17">
        <v>300.11599999999999</v>
      </c>
      <c r="F17">
        <v>200.2</v>
      </c>
      <c r="G17">
        <v>300.447</v>
      </c>
      <c r="H17">
        <v>85.638000000000005</v>
      </c>
      <c r="I17">
        <v>0.11</v>
      </c>
      <c r="J17">
        <v>0.80200000000000005</v>
      </c>
      <c r="K17">
        <v>234.47200000000001</v>
      </c>
      <c r="L17">
        <v>24.704999999999998</v>
      </c>
      <c r="M17">
        <v>66.808000000000007</v>
      </c>
      <c r="N17">
        <v>21.454999999999998</v>
      </c>
      <c r="Q17">
        <f t="shared" si="0"/>
        <v>-0.16510370931176871</v>
      </c>
      <c r="R17">
        <f t="shared" si="1"/>
        <v>-1.1099573215156322</v>
      </c>
      <c r="S17">
        <f t="shared" si="2"/>
        <v>-0.37312377731147817</v>
      </c>
      <c r="T17">
        <f t="shared" si="3"/>
        <v>0.45836291994159084</v>
      </c>
      <c r="U17">
        <f t="shared" si="4"/>
        <v>0.45381585605198499</v>
      </c>
      <c r="V17">
        <f t="shared" si="5"/>
        <v>0.28312846419175364</v>
      </c>
      <c r="W17">
        <f t="shared" si="6"/>
        <v>-1.1022296159950117E-2</v>
      </c>
      <c r="X17">
        <f t="shared" si="7"/>
        <v>0.79399923338042055</v>
      </c>
      <c r="Y17">
        <f t="shared" si="8"/>
        <v>0.8226354923049628</v>
      </c>
      <c r="Z17">
        <f t="shared" si="9"/>
        <v>-0.90038463432286908</v>
      </c>
      <c r="AA17">
        <f t="shared" si="10"/>
        <v>-0.17073448537565766</v>
      </c>
      <c r="AB17">
        <f t="shared" si="11"/>
        <v>0.32125639659631877</v>
      </c>
      <c r="AC17">
        <f t="shared" si="12"/>
        <v>-6.6351717466364979E-2</v>
      </c>
    </row>
    <row r="18" spans="1:29" x14ac:dyDescent="0.25">
      <c r="A18">
        <v>16</v>
      </c>
      <c r="B18">
        <v>49.978999999999999</v>
      </c>
      <c r="C18">
        <v>30.030999999999999</v>
      </c>
      <c r="D18">
        <v>19.93</v>
      </c>
      <c r="E18">
        <v>300.935</v>
      </c>
      <c r="F18">
        <v>199.60599999999999</v>
      </c>
      <c r="G18">
        <v>298.029</v>
      </c>
      <c r="H18">
        <v>84.843000000000004</v>
      </c>
      <c r="I18">
        <v>0.111</v>
      </c>
      <c r="J18">
        <v>0.79900000000000004</v>
      </c>
      <c r="K18">
        <v>234.46799999999999</v>
      </c>
      <c r="L18">
        <v>25.227</v>
      </c>
      <c r="M18">
        <v>66.561999999999998</v>
      </c>
      <c r="N18">
        <v>21.332000000000001</v>
      </c>
      <c r="Q18">
        <f t="shared" si="0"/>
        <v>-0.2085520538674919</v>
      </c>
      <c r="R18">
        <f t="shared" si="1"/>
        <v>0.39819096735988541</v>
      </c>
      <c r="S18">
        <f t="shared" si="2"/>
        <v>-0.15093508034983538</v>
      </c>
      <c r="T18">
        <f t="shared" si="3"/>
        <v>1.8417282243225233</v>
      </c>
      <c r="U18">
        <f t="shared" si="4"/>
        <v>-0.67125350327569899</v>
      </c>
      <c r="V18">
        <f t="shared" si="5"/>
        <v>-1.122438110710299</v>
      </c>
      <c r="W18">
        <f t="shared" si="6"/>
        <v>-0.90822967982718272</v>
      </c>
      <c r="X18">
        <f t="shared" si="7"/>
        <v>2.3819977001412616</v>
      </c>
      <c r="Y18">
        <f t="shared" si="8"/>
        <v>-0.47626265343963181</v>
      </c>
      <c r="Z18">
        <f t="shared" si="9"/>
        <v>-0.98997514520119723</v>
      </c>
      <c r="AA18">
        <f t="shared" si="10"/>
        <v>1.0608187347913862</v>
      </c>
      <c r="AB18">
        <f t="shared" si="11"/>
        <v>-1.1104297186695895</v>
      </c>
      <c r="AC18">
        <f t="shared" si="12"/>
        <v>-0.66791888565038682</v>
      </c>
    </row>
    <row r="19" spans="1:29" x14ac:dyDescent="0.25">
      <c r="A19">
        <v>17</v>
      </c>
      <c r="B19">
        <v>50.045999999999999</v>
      </c>
      <c r="C19">
        <v>29.943999999999999</v>
      </c>
      <c r="D19">
        <v>19.991</v>
      </c>
      <c r="E19">
        <v>299.78300000000002</v>
      </c>
      <c r="F19">
        <v>199.54499999999999</v>
      </c>
      <c r="G19">
        <v>300.935</v>
      </c>
      <c r="H19">
        <v>86.150999999999996</v>
      </c>
      <c r="I19">
        <v>0.11</v>
      </c>
      <c r="J19">
        <v>0.79600000000000004</v>
      </c>
      <c r="K19">
        <v>234.49700000000001</v>
      </c>
      <c r="L19">
        <v>24.494</v>
      </c>
      <c r="M19">
        <v>66.653999999999996</v>
      </c>
      <c r="N19">
        <v>21.507999999999999</v>
      </c>
      <c r="Q19">
        <f t="shared" si="0"/>
        <v>0.76179430787695845</v>
      </c>
      <c r="R19">
        <f t="shared" si="1"/>
        <v>-0.90090706365170681</v>
      </c>
      <c r="S19">
        <f t="shared" si="2"/>
        <v>0.31642735119017279</v>
      </c>
      <c r="T19">
        <f t="shared" si="3"/>
        <v>-0.104104291729715</v>
      </c>
      <c r="U19">
        <f t="shared" si="4"/>
        <v>-0.78679092906525672</v>
      </c>
      <c r="V19">
        <f t="shared" si="5"/>
        <v>0.56679946855577312</v>
      </c>
      <c r="W19">
        <f t="shared" si="6"/>
        <v>0.56793039292342251</v>
      </c>
      <c r="X19">
        <f t="shared" si="7"/>
        <v>0.79399923338042055</v>
      </c>
      <c r="Y19">
        <f t="shared" si="8"/>
        <v>-1.7751607991842264</v>
      </c>
      <c r="Z19">
        <f t="shared" si="9"/>
        <v>-0.34044394133586453</v>
      </c>
      <c r="AA19">
        <f t="shared" si="10"/>
        <v>-0.66854622762708182</v>
      </c>
      <c r="AB19">
        <f t="shared" si="11"/>
        <v>-0.57500239100919615</v>
      </c>
      <c r="AC19">
        <f t="shared" si="12"/>
        <v>0.19286015175114954</v>
      </c>
    </row>
    <row r="20" spans="1:29" x14ac:dyDescent="0.25">
      <c r="A20">
        <v>18</v>
      </c>
      <c r="B20">
        <v>49.914000000000001</v>
      </c>
      <c r="C20">
        <v>30.053000000000001</v>
      </c>
      <c r="D20">
        <v>19.783000000000001</v>
      </c>
      <c r="E20">
        <v>300.709</v>
      </c>
      <c r="F20">
        <v>199.52099999999999</v>
      </c>
      <c r="G20">
        <v>298.13099999999997</v>
      </c>
      <c r="H20">
        <v>86.772000000000006</v>
      </c>
      <c r="I20">
        <v>0.11</v>
      </c>
      <c r="J20">
        <v>0.80400000000000005</v>
      </c>
      <c r="K20">
        <v>234.48</v>
      </c>
      <c r="L20">
        <v>25.204999999999998</v>
      </c>
      <c r="M20">
        <v>66.67</v>
      </c>
      <c r="N20">
        <v>21.788</v>
      </c>
      <c r="Q20">
        <f t="shared" si="0"/>
        <v>-1.1499328525747592</v>
      </c>
      <c r="R20">
        <f t="shared" si="1"/>
        <v>0.72669851543181341</v>
      </c>
      <c r="S20">
        <f t="shared" si="2"/>
        <v>-1.2772019235691887</v>
      </c>
      <c r="T20">
        <f t="shared" si="3"/>
        <v>1.4599937203053279</v>
      </c>
      <c r="U20">
        <f t="shared" si="4"/>
        <v>-0.83224827691688252</v>
      </c>
      <c r="V20">
        <f t="shared" si="5"/>
        <v>-1.0631462204538993</v>
      </c>
      <c r="W20">
        <f t="shared" si="6"/>
        <v>1.2687678586559492</v>
      </c>
      <c r="X20">
        <f t="shared" si="7"/>
        <v>0.79399923338042055</v>
      </c>
      <c r="Y20">
        <f t="shared" si="8"/>
        <v>1.6885675894680259</v>
      </c>
      <c r="Z20">
        <f t="shared" si="9"/>
        <v>-0.721203612567486</v>
      </c>
      <c r="AA20">
        <f t="shared" si="10"/>
        <v>1.0089141929452612</v>
      </c>
      <c r="AB20">
        <f t="shared" si="11"/>
        <v>-0.48188459489431273</v>
      </c>
      <c r="AC20">
        <f t="shared" si="12"/>
        <v>1.5622813476172481</v>
      </c>
    </row>
    <row r="21" spans="1:29" x14ac:dyDescent="0.25">
      <c r="A21">
        <v>19</v>
      </c>
      <c r="B21">
        <v>50.061</v>
      </c>
      <c r="C21">
        <v>30.023</v>
      </c>
      <c r="D21">
        <v>19.873999999999999</v>
      </c>
      <c r="E21">
        <v>300.31200000000001</v>
      </c>
      <c r="F21">
        <v>200.977</v>
      </c>
      <c r="G21">
        <v>301.55399999999997</v>
      </c>
      <c r="H21">
        <v>84.738</v>
      </c>
      <c r="I21">
        <v>0.109</v>
      </c>
      <c r="J21">
        <v>0.80100000000000005</v>
      </c>
      <c r="K21">
        <v>234.50700000000001</v>
      </c>
      <c r="L21">
        <v>24.323</v>
      </c>
      <c r="M21">
        <v>67.119</v>
      </c>
      <c r="N21">
        <v>21.228999999999999</v>
      </c>
      <c r="Q21">
        <f t="shared" si="0"/>
        <v>0.97903603065557432</v>
      </c>
      <c r="R21">
        <f t="shared" si="1"/>
        <v>0.2787336771519357</v>
      </c>
      <c r="S21">
        <f t="shared" si="2"/>
        <v>-0.57998911586198165</v>
      </c>
      <c r="T21">
        <f t="shared" si="3"/>
        <v>0.78942470218663807</v>
      </c>
      <c r="U21">
        <f t="shared" si="4"/>
        <v>1.9254974927483424</v>
      </c>
      <c r="V21">
        <f t="shared" si="5"/>
        <v>0.92661986138634722</v>
      </c>
      <c r="W21">
        <f t="shared" si="6"/>
        <v>-1.0267287682360666</v>
      </c>
      <c r="X21">
        <f t="shared" si="7"/>
        <v>-0.79399923338042055</v>
      </c>
      <c r="Y21">
        <f t="shared" si="8"/>
        <v>0.38966944372343126</v>
      </c>
      <c r="Z21">
        <f t="shared" si="9"/>
        <v>-0.11646766414131732</v>
      </c>
      <c r="AA21">
        <f t="shared" si="10"/>
        <v>-1.0719860756128345</v>
      </c>
      <c r="AB21">
        <f t="shared" si="11"/>
        <v>2.1312335585787188</v>
      </c>
      <c r="AC21">
        <f t="shared" si="12"/>
        <v>-1.171670254129707</v>
      </c>
    </row>
    <row r="22" spans="1:29" x14ac:dyDescent="0.25">
      <c r="A22">
        <v>20</v>
      </c>
      <c r="B22">
        <v>50</v>
      </c>
      <c r="C22">
        <v>29.914999999999999</v>
      </c>
      <c r="D22">
        <v>20.059999999999999</v>
      </c>
      <c r="E22">
        <v>299.173</v>
      </c>
      <c r="F22">
        <v>199.74199999999999</v>
      </c>
      <c r="G22">
        <v>300.24400000000003</v>
      </c>
      <c r="H22">
        <v>86.83</v>
      </c>
      <c r="I22">
        <v>0.11</v>
      </c>
      <c r="J22">
        <v>0.80300000000000005</v>
      </c>
      <c r="K22">
        <v>234.48</v>
      </c>
      <c r="L22">
        <v>24.751999999999999</v>
      </c>
      <c r="M22">
        <v>66.686000000000007</v>
      </c>
      <c r="N22">
        <v>21.777000000000001</v>
      </c>
      <c r="Q22">
        <f t="shared" si="0"/>
        <v>9.5586358022570442E-2</v>
      </c>
      <c r="R22">
        <f t="shared" si="1"/>
        <v>-1.3339397406555709</v>
      </c>
      <c r="S22">
        <f t="shared" si="2"/>
        <v>0.84508321637476558</v>
      </c>
      <c r="T22">
        <f t="shared" si="3"/>
        <v>-1.1344496344310218</v>
      </c>
      <c r="U22">
        <f t="shared" si="4"/>
        <v>-0.41366186544983757</v>
      </c>
      <c r="V22">
        <f t="shared" si="5"/>
        <v>0.16512597672067006</v>
      </c>
      <c r="W22">
        <f t="shared" si="6"/>
        <v>1.3342244979675124</v>
      </c>
      <c r="X22">
        <f t="shared" si="7"/>
        <v>0.79399923338042055</v>
      </c>
      <c r="Y22">
        <f t="shared" si="8"/>
        <v>1.2556015408864944</v>
      </c>
      <c r="Z22">
        <f t="shared" si="9"/>
        <v>-0.721203612567486</v>
      </c>
      <c r="AA22">
        <f t="shared" si="10"/>
        <v>-5.9847509613489877E-2</v>
      </c>
      <c r="AB22">
        <f t="shared" si="11"/>
        <v>-0.38876679877942932</v>
      </c>
      <c r="AC22">
        <f t="shared" si="12"/>
        <v>1.5084826577796555</v>
      </c>
    </row>
    <row r="23" spans="1:29" x14ac:dyDescent="0.25">
      <c r="A23">
        <v>21</v>
      </c>
      <c r="B23">
        <v>49.920999999999999</v>
      </c>
      <c r="C23">
        <v>29.934000000000001</v>
      </c>
      <c r="D23">
        <v>20.088999999999999</v>
      </c>
      <c r="E23">
        <v>299.017</v>
      </c>
      <c r="F23">
        <v>199.59800000000001</v>
      </c>
      <c r="G23">
        <v>297.56900000000002</v>
      </c>
      <c r="H23">
        <v>86.272999999999996</v>
      </c>
      <c r="I23">
        <v>0.109</v>
      </c>
      <c r="J23">
        <v>0.79900000000000004</v>
      </c>
      <c r="K23">
        <v>234.47900000000001</v>
      </c>
      <c r="L23">
        <v>25.427</v>
      </c>
      <c r="M23">
        <v>66.602000000000004</v>
      </c>
      <c r="N23">
        <v>21.623000000000001</v>
      </c>
      <c r="Q23">
        <f t="shared" si="0"/>
        <v>-1.0485533819447725</v>
      </c>
      <c r="R23">
        <f t="shared" si="1"/>
        <v>-1.0502286764116306</v>
      </c>
      <c r="S23">
        <f t="shared" si="2"/>
        <v>1.0672719133364084</v>
      </c>
      <c r="T23">
        <f t="shared" si="3"/>
        <v>-1.3979477876464421</v>
      </c>
      <c r="U23">
        <f t="shared" si="4"/>
        <v>-0.68640595255953829</v>
      </c>
      <c r="V23">
        <f t="shared" si="5"/>
        <v>-1.3898329099058795</v>
      </c>
      <c r="W23">
        <f t="shared" si="6"/>
        <v>0.70561504802707287</v>
      </c>
      <c r="X23">
        <f t="shared" si="7"/>
        <v>-0.79399923338042055</v>
      </c>
      <c r="Y23">
        <f t="shared" si="8"/>
        <v>-0.47626265343963181</v>
      </c>
      <c r="Z23">
        <f t="shared" si="9"/>
        <v>-0.74360124028643138</v>
      </c>
      <c r="AA23">
        <f t="shared" si="10"/>
        <v>1.5326782061197521</v>
      </c>
      <c r="AB23">
        <f t="shared" si="11"/>
        <v>-0.87763522838242247</v>
      </c>
      <c r="AC23">
        <f t="shared" si="12"/>
        <v>0.75530100005330469</v>
      </c>
    </row>
    <row r="24" spans="1:29" x14ac:dyDescent="0.25">
      <c r="A24">
        <v>22</v>
      </c>
      <c r="B24">
        <v>49.978999999999999</v>
      </c>
      <c r="C24">
        <v>29.946999999999999</v>
      </c>
      <c r="D24">
        <v>19.800999999999998</v>
      </c>
      <c r="E24">
        <v>299.66899999999998</v>
      </c>
      <c r="F24">
        <v>199.69800000000001</v>
      </c>
      <c r="G24">
        <v>298.67</v>
      </c>
      <c r="H24">
        <v>85.206999999999994</v>
      </c>
      <c r="I24">
        <v>0.109</v>
      </c>
      <c r="J24">
        <v>0.80200000000000005</v>
      </c>
      <c r="K24">
        <v>234.52</v>
      </c>
      <c r="L24">
        <v>25.053000000000001</v>
      </c>
      <c r="M24">
        <v>66.727999999999994</v>
      </c>
      <c r="N24">
        <v>21.376999999999999</v>
      </c>
      <c r="Q24">
        <f t="shared" si="0"/>
        <v>-0.2085520538674919</v>
      </c>
      <c r="R24">
        <f t="shared" si="1"/>
        <v>-0.85611057982371908</v>
      </c>
      <c r="S24">
        <f t="shared" si="2"/>
        <v>-1.1392916978688803</v>
      </c>
      <c r="T24">
        <f t="shared" si="3"/>
        <v>-0.29666063446410856</v>
      </c>
      <c r="U24">
        <f t="shared" si="4"/>
        <v>-0.49700033651111558</v>
      </c>
      <c r="V24">
        <f t="shared" si="5"/>
        <v>-0.74982927096164687</v>
      </c>
      <c r="W24">
        <f t="shared" si="6"/>
        <v>-0.49743284000974486</v>
      </c>
      <c r="X24">
        <f t="shared" si="7"/>
        <v>-0.79399923338042055</v>
      </c>
      <c r="Y24">
        <f t="shared" si="8"/>
        <v>0.8226354923049628</v>
      </c>
      <c r="Z24">
        <f t="shared" si="9"/>
        <v>0.17470149621197598</v>
      </c>
      <c r="AA24">
        <f t="shared" si="10"/>
        <v>0.65030099473570779</v>
      </c>
      <c r="AB24">
        <f t="shared" si="11"/>
        <v>-0.14433258397801552</v>
      </c>
      <c r="AC24">
        <f t="shared" si="12"/>
        <v>-0.44783333631477373</v>
      </c>
    </row>
    <row r="25" spans="1:29" x14ac:dyDescent="0.25">
      <c r="A25">
        <v>23</v>
      </c>
      <c r="B25">
        <v>50.003</v>
      </c>
      <c r="C25">
        <v>29.962</v>
      </c>
      <c r="D25">
        <v>20.053000000000001</v>
      </c>
      <c r="E25">
        <v>299.81799999999998</v>
      </c>
      <c r="F25">
        <v>200.90299999999999</v>
      </c>
      <c r="G25">
        <v>298.286</v>
      </c>
      <c r="H25">
        <v>86.918999999999997</v>
      </c>
      <c r="I25">
        <v>0.109</v>
      </c>
      <c r="J25">
        <v>0.80100000000000005</v>
      </c>
      <c r="K25">
        <v>234.53700000000001</v>
      </c>
      <c r="L25">
        <v>25.141999999999999</v>
      </c>
      <c r="M25">
        <v>67.001000000000005</v>
      </c>
      <c r="N25">
        <v>21.742999999999999</v>
      </c>
      <c r="Q25">
        <f t="shared" si="0"/>
        <v>0.13903470257829365</v>
      </c>
      <c r="R25">
        <f t="shared" si="1"/>
        <v>-0.63212816068378019</v>
      </c>
      <c r="S25">
        <f t="shared" si="2"/>
        <v>0.79145146193576432</v>
      </c>
      <c r="T25">
        <f t="shared" si="3"/>
        <v>-4.4986116328875433E-2</v>
      </c>
      <c r="U25">
        <f t="shared" si="4"/>
        <v>1.7853373368724783</v>
      </c>
      <c r="V25">
        <f t="shared" si="5"/>
        <v>-0.97304579898580201</v>
      </c>
      <c r="W25">
        <f t="shared" si="6"/>
        <v>1.4346665824283706</v>
      </c>
      <c r="X25">
        <f t="shared" si="7"/>
        <v>-0.79399923338042055</v>
      </c>
      <c r="Y25">
        <f t="shared" si="8"/>
        <v>0.38966944372343126</v>
      </c>
      <c r="Z25">
        <f t="shared" si="9"/>
        <v>0.55546116744296081</v>
      </c>
      <c r="AA25">
        <f t="shared" si="10"/>
        <v>0.86027845947682813</v>
      </c>
      <c r="AB25">
        <f t="shared" si="11"/>
        <v>1.444489812231712</v>
      </c>
      <c r="AC25">
        <f t="shared" si="12"/>
        <v>1.3421957982816177</v>
      </c>
    </row>
    <row r="26" spans="1:29" x14ac:dyDescent="0.25">
      <c r="A26">
        <v>24</v>
      </c>
      <c r="B26">
        <v>49.908000000000001</v>
      </c>
      <c r="C26">
        <v>30.097999999999999</v>
      </c>
      <c r="D26">
        <v>19.933</v>
      </c>
      <c r="E26">
        <v>299.66000000000003</v>
      </c>
      <c r="F26">
        <v>199.41800000000001</v>
      </c>
      <c r="G26">
        <v>298.41899999999998</v>
      </c>
      <c r="H26">
        <v>86.471000000000004</v>
      </c>
      <c r="I26">
        <v>0.109</v>
      </c>
      <c r="J26">
        <v>0.79700000000000004</v>
      </c>
      <c r="K26">
        <v>234.559</v>
      </c>
      <c r="L26">
        <v>25.190999999999999</v>
      </c>
      <c r="M26">
        <v>66.561000000000007</v>
      </c>
      <c r="N26">
        <v>21.556999999999999</v>
      </c>
      <c r="Q26">
        <f t="shared" si="0"/>
        <v>-1.2368295416862054</v>
      </c>
      <c r="R26">
        <f t="shared" si="1"/>
        <v>1.3986457728515769</v>
      </c>
      <c r="S26">
        <f t="shared" si="2"/>
        <v>-0.12795004273311278</v>
      </c>
      <c r="T26">
        <f t="shared" si="3"/>
        <v>-0.31186245099569543</v>
      </c>
      <c r="U26">
        <f t="shared" si="4"/>
        <v>-1.0273360614467315</v>
      </c>
      <c r="V26">
        <f t="shared" si="5"/>
        <v>-0.89573382443578287</v>
      </c>
      <c r="W26">
        <f t="shared" si="6"/>
        <v>0.92907047188382563</v>
      </c>
      <c r="X26">
        <f t="shared" si="7"/>
        <v>-0.79399923338042055</v>
      </c>
      <c r="Y26">
        <f t="shared" si="8"/>
        <v>-1.342194750602695</v>
      </c>
      <c r="Z26">
        <f t="shared" si="9"/>
        <v>1.0482089772712193</v>
      </c>
      <c r="AA26">
        <f t="shared" si="10"/>
        <v>0.97588402995227697</v>
      </c>
      <c r="AB26">
        <f t="shared" si="11"/>
        <v>-1.116249580926713</v>
      </c>
      <c r="AC26">
        <f t="shared" si="12"/>
        <v>0.4325088610277133</v>
      </c>
    </row>
    <row r="27" spans="1:29" x14ac:dyDescent="0.25">
      <c r="A27">
        <v>25</v>
      </c>
      <c r="B27">
        <v>49.978999999999999</v>
      </c>
      <c r="C27">
        <v>30.058</v>
      </c>
      <c r="D27">
        <v>19.797000000000001</v>
      </c>
      <c r="E27">
        <v>300.27699999999999</v>
      </c>
      <c r="F27">
        <v>199.73</v>
      </c>
      <c r="G27">
        <v>301.88499999999999</v>
      </c>
      <c r="H27">
        <v>83.78</v>
      </c>
      <c r="I27">
        <v>0.109</v>
      </c>
      <c r="J27">
        <v>0.8</v>
      </c>
      <c r="K27">
        <v>234.58500000000001</v>
      </c>
      <c r="L27">
        <v>24.361999999999998</v>
      </c>
      <c r="M27">
        <v>66.751999999999995</v>
      </c>
      <c r="N27">
        <v>21.065999999999999</v>
      </c>
      <c r="Q27">
        <f t="shared" si="0"/>
        <v>-0.2085520538674919</v>
      </c>
      <c r="R27">
        <f t="shared" si="1"/>
        <v>0.80135932181177527</v>
      </c>
      <c r="S27">
        <f t="shared" si="2"/>
        <v>-1.1699384146911589</v>
      </c>
      <c r="T27">
        <f t="shared" si="3"/>
        <v>0.73030652678570251</v>
      </c>
      <c r="U27">
        <f t="shared" si="4"/>
        <v>-0.43639053937565042</v>
      </c>
      <c r="V27">
        <f t="shared" si="5"/>
        <v>1.119027858198838</v>
      </c>
      <c r="W27">
        <f t="shared" si="6"/>
        <v>-2.1078918796237467</v>
      </c>
      <c r="X27">
        <f t="shared" si="7"/>
        <v>-0.79399923338042055</v>
      </c>
      <c r="Y27">
        <f t="shared" si="8"/>
        <v>-4.3296604858100281E-2</v>
      </c>
      <c r="Z27">
        <f t="shared" si="9"/>
        <v>1.630547297977806</v>
      </c>
      <c r="AA27">
        <f t="shared" si="10"/>
        <v>-0.9799734787038078</v>
      </c>
      <c r="AB27">
        <f t="shared" si="11"/>
        <v>-4.6558898057317642E-3</v>
      </c>
      <c r="AC27">
        <f t="shared" si="12"/>
        <v>-1.9688690217231839</v>
      </c>
    </row>
    <row r="28" spans="1:29" x14ac:dyDescent="0.25">
      <c r="A28">
        <v>26</v>
      </c>
      <c r="B28">
        <v>49.963999999999999</v>
      </c>
      <c r="C28">
        <v>29.949000000000002</v>
      </c>
      <c r="D28">
        <v>19.788</v>
      </c>
      <c r="E28">
        <v>300.98599999999999</v>
      </c>
      <c r="F28">
        <v>200.05699999999999</v>
      </c>
      <c r="G28">
        <v>300.74900000000002</v>
      </c>
      <c r="H28">
        <v>87.049000000000007</v>
      </c>
      <c r="I28">
        <v>0.109</v>
      </c>
      <c r="J28">
        <v>0.80100000000000005</v>
      </c>
      <c r="K28">
        <v>234.559</v>
      </c>
      <c r="L28">
        <v>24.606000000000002</v>
      </c>
      <c r="M28">
        <v>66.817999999999998</v>
      </c>
      <c r="N28">
        <v>21.753</v>
      </c>
      <c r="Q28">
        <f t="shared" si="0"/>
        <v>-0.42579377664610785</v>
      </c>
      <c r="R28">
        <f t="shared" si="1"/>
        <v>-0.82624625727169188</v>
      </c>
      <c r="S28">
        <f t="shared" si="2"/>
        <v>-1.2388935275413266</v>
      </c>
      <c r="T28">
        <f t="shared" si="3"/>
        <v>1.9278718513352329</v>
      </c>
      <c r="U28">
        <f t="shared" si="4"/>
        <v>0.18296582510272374</v>
      </c>
      <c r="V28">
        <f t="shared" si="5"/>
        <v>0.45867896279408954</v>
      </c>
      <c r="W28">
        <f t="shared" si="6"/>
        <v>1.581379739506042</v>
      </c>
      <c r="X28">
        <f t="shared" si="7"/>
        <v>-0.79399923338042055</v>
      </c>
      <c r="Y28">
        <f t="shared" si="8"/>
        <v>0.38966944372343126</v>
      </c>
      <c r="Z28">
        <f t="shared" si="9"/>
        <v>1.0482089772712193</v>
      </c>
      <c r="AA28">
        <f t="shared" si="10"/>
        <v>-0.40430492368319165</v>
      </c>
      <c r="AB28">
        <f t="shared" si="11"/>
        <v>0.37945501916804852</v>
      </c>
      <c r="AC28">
        <f t="shared" si="12"/>
        <v>1.3911036981339859</v>
      </c>
    </row>
    <row r="29" spans="1:29" x14ac:dyDescent="0.25">
      <c r="A29">
        <v>27</v>
      </c>
      <c r="B29">
        <v>49.930999999999997</v>
      </c>
      <c r="C29">
        <v>29.966000000000001</v>
      </c>
      <c r="D29">
        <v>19.965</v>
      </c>
      <c r="E29">
        <v>299.35899999999998</v>
      </c>
      <c r="F29">
        <v>199.59100000000001</v>
      </c>
      <c r="G29">
        <v>299.57900000000001</v>
      </c>
      <c r="H29">
        <v>85.61</v>
      </c>
      <c r="I29">
        <v>0.11</v>
      </c>
      <c r="J29">
        <v>0.8</v>
      </c>
      <c r="K29">
        <v>234.54900000000001</v>
      </c>
      <c r="L29">
        <v>24.919</v>
      </c>
      <c r="M29">
        <v>66.596000000000004</v>
      </c>
      <c r="N29">
        <v>21.423999999999999</v>
      </c>
      <c r="Q29">
        <f t="shared" si="0"/>
        <v>-0.90372556675906301</v>
      </c>
      <c r="R29">
        <f t="shared" si="1"/>
        <v>-0.57239951557977886</v>
      </c>
      <c r="S29">
        <f t="shared" si="2"/>
        <v>0.11722369184525262</v>
      </c>
      <c r="T29">
        <f t="shared" si="3"/>
        <v>-0.8202787594434533</v>
      </c>
      <c r="U29">
        <f t="shared" si="4"/>
        <v>-0.69966434568293812</v>
      </c>
      <c r="V29">
        <f t="shared" si="5"/>
        <v>-0.22143389602949176</v>
      </c>
      <c r="W29">
        <f t="shared" si="6"/>
        <v>-4.2622053068991202E-2</v>
      </c>
      <c r="X29">
        <f t="shared" si="7"/>
        <v>0.79399923338042055</v>
      </c>
      <c r="Y29">
        <f t="shared" si="8"/>
        <v>-4.3296604858100281E-2</v>
      </c>
      <c r="Z29">
        <f t="shared" si="9"/>
        <v>0.82423270007667204</v>
      </c>
      <c r="AA29">
        <f t="shared" si="10"/>
        <v>0.33415514894570075</v>
      </c>
      <c r="AB29">
        <f t="shared" si="11"/>
        <v>-0.91255440192549342</v>
      </c>
      <c r="AC29">
        <f t="shared" si="12"/>
        <v>-0.21796620700867661</v>
      </c>
    </row>
    <row r="30" spans="1:29" x14ac:dyDescent="0.25">
      <c r="A30">
        <v>28</v>
      </c>
      <c r="B30">
        <v>49.841999999999999</v>
      </c>
      <c r="C30">
        <v>30.081</v>
      </c>
      <c r="D30">
        <v>19.951000000000001</v>
      </c>
      <c r="E30">
        <v>299.22800000000001</v>
      </c>
      <c r="F30">
        <v>200.13900000000001</v>
      </c>
      <c r="G30">
        <v>298.89100000000002</v>
      </c>
      <c r="H30">
        <v>85.789000000000001</v>
      </c>
      <c r="I30">
        <v>0.109</v>
      </c>
      <c r="J30">
        <v>0.80300000000000005</v>
      </c>
      <c r="K30">
        <v>234.55799999999999</v>
      </c>
      <c r="L30">
        <v>25.067</v>
      </c>
      <c r="M30">
        <v>66.748999999999995</v>
      </c>
      <c r="N30">
        <v>21.606000000000002</v>
      </c>
      <c r="Q30">
        <f t="shared" si="0"/>
        <v>-2.1926931219121157</v>
      </c>
      <c r="R30">
        <f t="shared" si="1"/>
        <v>1.1447990311596639</v>
      </c>
      <c r="S30">
        <f t="shared" si="2"/>
        <v>9.9601829672228727E-3</v>
      </c>
      <c r="T30">
        <f t="shared" si="3"/>
        <v>-1.0415496445153207</v>
      </c>
      <c r="U30">
        <f t="shared" si="4"/>
        <v>0.338278430262481</v>
      </c>
      <c r="V30">
        <f t="shared" si="5"/>
        <v>-0.62136350873941448</v>
      </c>
      <c r="W30">
        <f t="shared" si="6"/>
        <v>0.15939067859948192</v>
      </c>
      <c r="X30">
        <f t="shared" si="7"/>
        <v>-0.79399923338042055</v>
      </c>
      <c r="Y30">
        <f t="shared" si="8"/>
        <v>1.2556015408864944</v>
      </c>
      <c r="Z30">
        <f t="shared" si="9"/>
        <v>1.0258113495516372</v>
      </c>
      <c r="AA30">
        <f t="shared" si="10"/>
        <v>0.68333115772869191</v>
      </c>
      <c r="AB30">
        <f t="shared" si="11"/>
        <v>-2.2115476577267233E-2</v>
      </c>
      <c r="AC30">
        <f t="shared" si="12"/>
        <v>0.67215757030429446</v>
      </c>
    </row>
    <row r="31" spans="1:29" x14ac:dyDescent="0.25">
      <c r="A31">
        <v>29</v>
      </c>
      <c r="B31">
        <v>50.034999999999997</v>
      </c>
      <c r="C31">
        <v>30.012</v>
      </c>
      <c r="D31">
        <v>20.135999999999999</v>
      </c>
      <c r="E31">
        <v>299.529</v>
      </c>
      <c r="F31">
        <v>200.90700000000001</v>
      </c>
      <c r="G31">
        <v>301.87599999999998</v>
      </c>
      <c r="H31">
        <v>85.707999999999998</v>
      </c>
      <c r="I31">
        <v>0.111</v>
      </c>
      <c r="J31">
        <v>0.79900000000000004</v>
      </c>
      <c r="K31">
        <v>234.57499999999999</v>
      </c>
      <c r="L31">
        <v>24.297999999999998</v>
      </c>
      <c r="M31">
        <v>67.040999999999997</v>
      </c>
      <c r="N31">
        <v>21.372</v>
      </c>
      <c r="Q31">
        <f t="shared" si="0"/>
        <v>0.6024837111726058</v>
      </c>
      <c r="R31">
        <f t="shared" si="1"/>
        <v>0.11447990311599822</v>
      </c>
      <c r="S31">
        <f t="shared" si="2"/>
        <v>1.4273708359983868</v>
      </c>
      <c r="T31">
        <f t="shared" si="3"/>
        <v>-0.53313333606765889</v>
      </c>
      <c r="U31">
        <f t="shared" si="4"/>
        <v>1.7929135615144518</v>
      </c>
      <c r="V31">
        <f t="shared" si="5"/>
        <v>1.1137962208232635</v>
      </c>
      <c r="W31">
        <f t="shared" si="6"/>
        <v>6.7977096112628532E-2</v>
      </c>
      <c r="X31">
        <f t="shared" si="7"/>
        <v>2.3819977001412616</v>
      </c>
      <c r="Y31">
        <f t="shared" si="8"/>
        <v>-0.47626265343963181</v>
      </c>
      <c r="Z31">
        <f t="shared" si="9"/>
        <v>1.4065710207826221</v>
      </c>
      <c r="AA31">
        <f t="shared" si="10"/>
        <v>-1.1309685095288855</v>
      </c>
      <c r="AB31">
        <f t="shared" si="11"/>
        <v>1.6772843025187965</v>
      </c>
      <c r="AC31">
        <f t="shared" si="12"/>
        <v>-0.47228728624094907</v>
      </c>
    </row>
    <row r="32" spans="1:29" x14ac:dyDescent="0.25">
      <c r="A32">
        <v>30</v>
      </c>
      <c r="B32">
        <v>49.854999999999997</v>
      </c>
      <c r="C32">
        <v>30.082999999999998</v>
      </c>
      <c r="D32">
        <v>19.835000000000001</v>
      </c>
      <c r="E32">
        <v>299.20400000000001</v>
      </c>
      <c r="F32">
        <v>198.952</v>
      </c>
      <c r="G32">
        <v>299.87400000000002</v>
      </c>
      <c r="H32">
        <v>86.186000000000007</v>
      </c>
      <c r="I32">
        <v>0.11</v>
      </c>
      <c r="J32">
        <v>0.79600000000000004</v>
      </c>
      <c r="K32">
        <v>234.54599999999999</v>
      </c>
      <c r="L32">
        <v>24.815000000000001</v>
      </c>
      <c r="M32">
        <v>66.366</v>
      </c>
      <c r="N32">
        <v>21.498999999999999</v>
      </c>
      <c r="Q32">
        <f t="shared" si="0"/>
        <v>-2.0044169621706827</v>
      </c>
      <c r="R32">
        <f t="shared" si="1"/>
        <v>1.174663353711638</v>
      </c>
      <c r="S32">
        <f t="shared" si="2"/>
        <v>-0.87879460487934824</v>
      </c>
      <c r="T32">
        <f t="shared" si="3"/>
        <v>-1.0820878219330776</v>
      </c>
      <c r="U32">
        <f t="shared" si="4"/>
        <v>-1.9099662322324473</v>
      </c>
      <c r="V32">
        <f t="shared" si="5"/>
        <v>-4.995244871926563E-2</v>
      </c>
      <c r="W32">
        <f t="shared" si="6"/>
        <v>0.60743008905972795</v>
      </c>
      <c r="X32">
        <f t="shared" si="7"/>
        <v>0.79399923338042055</v>
      </c>
      <c r="Y32">
        <f t="shared" si="8"/>
        <v>-1.7751607991842264</v>
      </c>
      <c r="Z32">
        <f t="shared" si="9"/>
        <v>0.75703981691792599</v>
      </c>
      <c r="AA32">
        <f t="shared" si="10"/>
        <v>8.8788223854951512E-2</v>
      </c>
      <c r="AB32">
        <f t="shared" si="11"/>
        <v>-2.2511227210765181</v>
      </c>
      <c r="AC32">
        <f t="shared" si="12"/>
        <v>0.14884304188402345</v>
      </c>
    </row>
    <row r="34" spans="1:29" x14ac:dyDescent="0.25">
      <c r="A34" t="s">
        <v>31</v>
      </c>
      <c r="B34">
        <f>AVERAGE(B3:B32)</f>
        <v>49.993400000000001</v>
      </c>
      <c r="C34">
        <f t="shared" ref="C34:N34" si="13">AVERAGE(C3:C32)</f>
        <v>30.004333333333332</v>
      </c>
      <c r="D34">
        <f t="shared" si="13"/>
        <v>19.949700000000004</v>
      </c>
      <c r="E34">
        <f t="shared" si="13"/>
        <v>299.84463333333332</v>
      </c>
      <c r="F34">
        <f t="shared" si="13"/>
        <v>199.96040000000002</v>
      </c>
      <c r="G34">
        <f t="shared" si="13"/>
        <v>299.95993333333331</v>
      </c>
      <c r="H34">
        <f t="shared" si="13"/>
        <v>85.647766666666683</v>
      </c>
      <c r="I34">
        <f t="shared" si="13"/>
        <v>0.1095</v>
      </c>
      <c r="J34">
        <f t="shared" si="13"/>
        <v>0.80009999999999992</v>
      </c>
      <c r="K34">
        <f t="shared" si="13"/>
        <v>234.51220000000001</v>
      </c>
      <c r="L34">
        <f t="shared" si="13"/>
        <v>24.777366666666669</v>
      </c>
      <c r="M34">
        <f t="shared" si="13"/>
        <v>66.752799999999993</v>
      </c>
      <c r="N34">
        <f t="shared" si="13"/>
        <v>21.468566666666664</v>
      </c>
      <c r="Q34" s="5">
        <f t="shared" ref="Q34:AC34" si="14">AVERAGE(Q3:Q32)</f>
        <v>-2.7385501274087194E-14</v>
      </c>
      <c r="R34" s="5">
        <f t="shared" si="14"/>
        <v>2.3026025530725747E-14</v>
      </c>
      <c r="S34" s="5">
        <f t="shared" si="14"/>
        <v>-2.9017529120286176E-14</v>
      </c>
      <c r="T34" s="5">
        <f t="shared" si="14"/>
        <v>1.9236464273338547E-14</v>
      </c>
      <c r="U34" s="5">
        <f t="shared" si="14"/>
        <v>-4.125588759507082E-14</v>
      </c>
      <c r="V34" s="5">
        <f t="shared" si="14"/>
        <v>1.4318176274249102E-14</v>
      </c>
      <c r="W34" s="5">
        <f t="shared" si="14"/>
        <v>-1.922906278650771E-14</v>
      </c>
      <c r="X34" s="5">
        <f t="shared" si="14"/>
        <v>0</v>
      </c>
      <c r="Y34" s="5">
        <f t="shared" si="14"/>
        <v>5.2876221919480787E-14</v>
      </c>
      <c r="Z34" s="5">
        <f t="shared" si="14"/>
        <v>-1.2731297497718212E-13</v>
      </c>
      <c r="AA34" s="5">
        <f t="shared" si="14"/>
        <v>-6.9809898602575993E-15</v>
      </c>
      <c r="AB34" s="5">
        <f t="shared" si="14"/>
        <v>3.8606155309632112E-14</v>
      </c>
      <c r="AC34" s="5">
        <f t="shared" si="14"/>
        <v>1.0414817156837823E-14</v>
      </c>
    </row>
    <row r="35" spans="1:29" x14ac:dyDescent="0.25">
      <c r="A35" t="s">
        <v>32</v>
      </c>
      <c r="B35">
        <f>_xlfn.STDEV.S(B3:B32)</f>
        <v>6.9047509880441268E-2</v>
      </c>
      <c r="C35">
        <f t="shared" ref="C35:N35" si="15">_xlfn.STDEV.S(C3:C32)</f>
        <v>6.6969541884575004E-2</v>
      </c>
      <c r="D35">
        <f t="shared" si="15"/>
        <v>0.13051969067988317</v>
      </c>
      <c r="E35">
        <f t="shared" si="15"/>
        <v>0.59203450990591833</v>
      </c>
      <c r="F35">
        <f t="shared" si="15"/>
        <v>0.52796744936237094</v>
      </c>
      <c r="G35">
        <f t="shared" si="15"/>
        <v>1.7203027186161606</v>
      </c>
      <c r="H35">
        <f t="shared" si="15"/>
        <v>0.88608276578212064</v>
      </c>
      <c r="I35">
        <f t="shared" si="15"/>
        <v>6.2972352992240316E-4</v>
      </c>
      <c r="J35">
        <f t="shared" si="15"/>
        <v>2.3096499212263096E-3</v>
      </c>
      <c r="K35">
        <f t="shared" si="15"/>
        <v>4.4647585562397944E-2</v>
      </c>
      <c r="L35">
        <f t="shared" si="15"/>
        <v>0.42385500801110293</v>
      </c>
      <c r="M35">
        <f t="shared" si="15"/>
        <v>0.17182537245904597</v>
      </c>
      <c r="N35">
        <f t="shared" si="15"/>
        <v>0.20446594579172805</v>
      </c>
      <c r="Q35" s="5">
        <f t="shared" ref="Q35:AC35" si="16">_xlfn.STDEV.S(Q3:Q32)</f>
        <v>1</v>
      </c>
      <c r="R35" s="5">
        <f t="shared" si="16"/>
        <v>1</v>
      </c>
      <c r="S35" s="5">
        <f t="shared" si="16"/>
        <v>1</v>
      </c>
      <c r="T35" s="5">
        <f t="shared" si="16"/>
        <v>1</v>
      </c>
      <c r="U35" s="5">
        <f t="shared" si="16"/>
        <v>1</v>
      </c>
      <c r="V35" s="5">
        <f t="shared" si="16"/>
        <v>1</v>
      </c>
      <c r="W35" s="5">
        <f t="shared" si="16"/>
        <v>1</v>
      </c>
      <c r="X35" s="5">
        <f t="shared" si="16"/>
        <v>0.99999999999999978</v>
      </c>
      <c r="Y35" s="5">
        <f t="shared" si="16"/>
        <v>1</v>
      </c>
      <c r="Z35" s="5">
        <f t="shared" si="16"/>
        <v>0.99999999999999989</v>
      </c>
      <c r="AA35" s="5">
        <f t="shared" si="16"/>
        <v>1</v>
      </c>
      <c r="AB35" s="5">
        <f t="shared" si="16"/>
        <v>1</v>
      </c>
      <c r="AC35" s="5">
        <f t="shared" si="16"/>
        <v>1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A47F7-0D27-4EB9-A79B-F50BD9186436}">
  <sheetPr>
    <tabColor theme="5" tint="0.79998168889431442"/>
  </sheetPr>
  <dimension ref="A1:M13"/>
  <sheetViews>
    <sheetView workbookViewId="0">
      <selection activeCell="O23" sqref="O23"/>
    </sheetView>
  </sheetViews>
  <sheetFormatPr defaultRowHeight="15" x14ac:dyDescent="0.25"/>
  <sheetData>
    <row r="1" spans="1:13" x14ac:dyDescent="0.25">
      <c r="A1">
        <v>1</v>
      </c>
      <c r="B1">
        <v>-0.44790000000000002</v>
      </c>
      <c r="C1">
        <v>7.5300000000000006E-2</v>
      </c>
      <c r="D1">
        <v>0.24690000000000001</v>
      </c>
      <c r="E1">
        <v>0.52080000000000004</v>
      </c>
      <c r="F1">
        <v>0.4612</v>
      </c>
      <c r="G1">
        <v>-0.33029999999999998</v>
      </c>
      <c r="H1">
        <v>4.9200000000000001E-2</v>
      </c>
      <c r="I1">
        <v>-0.29930000000000001</v>
      </c>
      <c r="J1">
        <v>-0.39550000000000002</v>
      </c>
      <c r="K1">
        <v>-0.49359999999999998</v>
      </c>
      <c r="L1">
        <v>0.55700000000000005</v>
      </c>
      <c r="M1">
        <v>-0.33360000000000001</v>
      </c>
    </row>
    <row r="2" spans="1:13" x14ac:dyDescent="0.25">
      <c r="A2">
        <v>-0.44790000000000002</v>
      </c>
      <c r="B2">
        <v>1</v>
      </c>
      <c r="C2">
        <v>0.15840000000000001</v>
      </c>
      <c r="D2">
        <v>-0.14960000000000001</v>
      </c>
      <c r="E2">
        <v>-0.31209999999999999</v>
      </c>
      <c r="F2">
        <v>-0.19989999999999999</v>
      </c>
      <c r="G2">
        <v>-6.5600000000000006E-2</v>
      </c>
      <c r="H2">
        <v>5.8099999999999999E-2</v>
      </c>
      <c r="I2">
        <v>9.2999999999999999E-2</v>
      </c>
      <c r="J2">
        <v>0.33250000000000002</v>
      </c>
      <c r="K2">
        <v>0.18640000000000001</v>
      </c>
      <c r="L2">
        <v>-0.25290000000000001</v>
      </c>
      <c r="M2">
        <v>-8.4000000000000005E-2</v>
      </c>
    </row>
    <row r="3" spans="1:13" x14ac:dyDescent="0.25">
      <c r="A3">
        <v>7.5300000000000006E-2</v>
      </c>
      <c r="B3">
        <v>0.15840000000000001</v>
      </c>
      <c r="C3">
        <v>1</v>
      </c>
      <c r="D3">
        <v>-0.29099999999999998</v>
      </c>
      <c r="E3">
        <v>2.5000000000000001E-3</v>
      </c>
      <c r="F3">
        <v>0.1641</v>
      </c>
      <c r="G3">
        <v>0.14269999999999999</v>
      </c>
      <c r="H3">
        <v>0.16589999999999999</v>
      </c>
      <c r="I3">
        <v>-0.1047</v>
      </c>
      <c r="J3">
        <v>8.6099999999999996E-2</v>
      </c>
      <c r="K3">
        <v>-0.15110000000000001</v>
      </c>
      <c r="L3">
        <v>-5.0700000000000002E-2</v>
      </c>
      <c r="M3">
        <v>6.3700000000000007E-2</v>
      </c>
    </row>
    <row r="4" spans="1:13" x14ac:dyDescent="0.25">
      <c r="A4">
        <v>0.24690000000000001</v>
      </c>
      <c r="B4">
        <v>-0.14960000000000001</v>
      </c>
      <c r="C4">
        <v>-0.29099999999999998</v>
      </c>
      <c r="D4">
        <v>1</v>
      </c>
      <c r="E4">
        <v>0.18840000000000001</v>
      </c>
      <c r="F4">
        <v>0.25719999999999998</v>
      </c>
      <c r="G4">
        <v>-3.6600000000000001E-2</v>
      </c>
      <c r="H4">
        <v>-1.4800000000000001E-2</v>
      </c>
      <c r="I4">
        <v>-1.9400000000000001E-2</v>
      </c>
      <c r="J4">
        <v>-1.6400000000000001E-2</v>
      </c>
      <c r="K4">
        <v>-0.25159999999999999</v>
      </c>
      <c r="L4">
        <v>0.2142</v>
      </c>
      <c r="M4">
        <v>-5.67E-2</v>
      </c>
    </row>
    <row r="5" spans="1:13" x14ac:dyDescent="0.25">
      <c r="A5">
        <v>0.52080000000000004</v>
      </c>
      <c r="B5">
        <v>-0.31209999999999999</v>
      </c>
      <c r="C5">
        <v>2.5000000000000001E-3</v>
      </c>
      <c r="D5">
        <v>0.18840000000000001</v>
      </c>
      <c r="E5">
        <v>1</v>
      </c>
      <c r="F5">
        <v>0.28120000000000001</v>
      </c>
      <c r="G5">
        <v>-0.23730000000000001</v>
      </c>
      <c r="H5">
        <v>-3.7400000000000003E-2</v>
      </c>
      <c r="I5">
        <v>0.12479999999999999</v>
      </c>
      <c r="J5">
        <v>3.2099999999999997E-2</v>
      </c>
      <c r="K5">
        <v>-0.2964</v>
      </c>
      <c r="L5">
        <v>0.95669999999999999</v>
      </c>
      <c r="M5">
        <v>-0.21379999999999999</v>
      </c>
    </row>
    <row r="6" spans="1:13" x14ac:dyDescent="0.25">
      <c r="A6">
        <v>0.4612</v>
      </c>
      <c r="B6">
        <v>-0.19989999999999999</v>
      </c>
      <c r="C6">
        <v>0.1641</v>
      </c>
      <c r="D6">
        <v>0.25719999999999998</v>
      </c>
      <c r="E6">
        <v>0.28120000000000001</v>
      </c>
      <c r="F6">
        <v>1</v>
      </c>
      <c r="G6">
        <v>-0.44090000000000001</v>
      </c>
      <c r="H6">
        <v>0.1138</v>
      </c>
      <c r="I6">
        <v>-0.38569999999999999</v>
      </c>
      <c r="J6">
        <v>0.29089999999999999</v>
      </c>
      <c r="K6">
        <v>-0.995</v>
      </c>
      <c r="L6">
        <v>0.30990000000000001</v>
      </c>
      <c r="M6">
        <v>-0.54059999999999997</v>
      </c>
    </row>
    <row r="7" spans="1:13" x14ac:dyDescent="0.25">
      <c r="A7">
        <v>-0.33029999999999998</v>
      </c>
      <c r="B7">
        <v>-6.5600000000000006E-2</v>
      </c>
      <c r="C7">
        <v>0.14269999999999999</v>
      </c>
      <c r="D7">
        <v>-3.6600000000000001E-2</v>
      </c>
      <c r="E7">
        <v>-0.23730000000000001</v>
      </c>
      <c r="F7">
        <v>-0.44090000000000001</v>
      </c>
      <c r="G7">
        <v>1</v>
      </c>
      <c r="H7">
        <v>2.8899999999999999E-2</v>
      </c>
      <c r="I7">
        <v>0.15029999999999999</v>
      </c>
      <c r="J7">
        <v>-0.14660000000000001</v>
      </c>
      <c r="K7">
        <v>0.45300000000000001</v>
      </c>
      <c r="L7">
        <v>-0.25740000000000002</v>
      </c>
      <c r="M7">
        <v>0.95479999999999998</v>
      </c>
    </row>
    <row r="8" spans="1:13" x14ac:dyDescent="0.25">
      <c r="A8">
        <v>4.9200000000000001E-2</v>
      </c>
      <c r="B8">
        <v>5.8099999999999999E-2</v>
      </c>
      <c r="C8">
        <v>0.16589999999999999</v>
      </c>
      <c r="D8">
        <v>-1.4800000000000001E-2</v>
      </c>
      <c r="E8">
        <v>-3.7400000000000003E-2</v>
      </c>
      <c r="F8">
        <v>0.1138</v>
      </c>
      <c r="G8">
        <v>2.8899999999999999E-2</v>
      </c>
      <c r="H8">
        <v>1</v>
      </c>
      <c r="I8">
        <v>-0.13039999999999999</v>
      </c>
      <c r="J8">
        <v>-0.13250000000000001</v>
      </c>
      <c r="K8">
        <v>-0.13789999999999999</v>
      </c>
      <c r="L8">
        <v>-9.2100000000000001E-2</v>
      </c>
      <c r="M8">
        <v>-2.9100000000000001E-2</v>
      </c>
    </row>
    <row r="9" spans="1:13" x14ac:dyDescent="0.25">
      <c r="A9">
        <v>-0.29930000000000001</v>
      </c>
      <c r="B9">
        <v>9.2999999999999999E-2</v>
      </c>
      <c r="C9">
        <v>-0.1047</v>
      </c>
      <c r="D9">
        <v>-1.9400000000000001E-2</v>
      </c>
      <c r="E9">
        <v>0.12479999999999999</v>
      </c>
      <c r="F9">
        <v>-0.38569999999999999</v>
      </c>
      <c r="G9">
        <v>0.15029999999999999</v>
      </c>
      <c r="H9">
        <v>-0.13039999999999999</v>
      </c>
      <c r="I9">
        <v>1</v>
      </c>
      <c r="J9">
        <v>-5.5E-2</v>
      </c>
      <c r="K9">
        <v>0.38059999999999999</v>
      </c>
      <c r="L9">
        <v>0.16209999999999999</v>
      </c>
      <c r="M9">
        <v>0.28360000000000002</v>
      </c>
    </row>
    <row r="10" spans="1:13" x14ac:dyDescent="0.25">
      <c r="A10">
        <v>-0.39550000000000002</v>
      </c>
      <c r="B10">
        <v>0.33250000000000002</v>
      </c>
      <c r="C10">
        <v>8.6099999999999996E-2</v>
      </c>
      <c r="D10">
        <v>-1.6400000000000001E-2</v>
      </c>
      <c r="E10">
        <v>3.2099999999999997E-2</v>
      </c>
      <c r="F10">
        <v>0.29089999999999999</v>
      </c>
      <c r="G10">
        <v>-0.14660000000000001</v>
      </c>
      <c r="H10">
        <v>-0.13250000000000001</v>
      </c>
      <c r="I10">
        <v>-5.5E-2</v>
      </c>
      <c r="J10">
        <v>1</v>
      </c>
      <c r="K10">
        <v>-0.2621</v>
      </c>
      <c r="L10">
        <v>6.7299999999999999E-2</v>
      </c>
      <c r="M10">
        <v>-0.25879999999999997</v>
      </c>
    </row>
    <row r="11" spans="1:13" x14ac:dyDescent="0.25">
      <c r="A11">
        <v>-0.49359999999999998</v>
      </c>
      <c r="B11">
        <v>0.18640000000000001</v>
      </c>
      <c r="C11">
        <v>-0.15110000000000001</v>
      </c>
      <c r="D11">
        <v>-0.25159999999999999</v>
      </c>
      <c r="E11">
        <v>-0.2964</v>
      </c>
      <c r="F11">
        <v>-0.995</v>
      </c>
      <c r="G11">
        <v>0.45300000000000001</v>
      </c>
      <c r="H11">
        <v>-0.13789999999999999</v>
      </c>
      <c r="I11">
        <v>0.38059999999999999</v>
      </c>
      <c r="J11">
        <v>-0.2621</v>
      </c>
      <c r="K11">
        <v>1</v>
      </c>
      <c r="L11">
        <v>-0.32740000000000002</v>
      </c>
      <c r="M11">
        <v>0.55100000000000005</v>
      </c>
    </row>
    <row r="12" spans="1:13" x14ac:dyDescent="0.25">
      <c r="A12">
        <v>0.55700000000000005</v>
      </c>
      <c r="B12">
        <v>-0.25290000000000001</v>
      </c>
      <c r="C12">
        <v>-5.0700000000000002E-2</v>
      </c>
      <c r="D12">
        <v>0.2142</v>
      </c>
      <c r="E12">
        <v>0.95669999999999999</v>
      </c>
      <c r="F12">
        <v>0.30990000000000001</v>
      </c>
      <c r="G12">
        <v>-0.25740000000000002</v>
      </c>
      <c r="H12">
        <v>-9.2100000000000001E-2</v>
      </c>
      <c r="I12">
        <v>0.16209999999999999</v>
      </c>
      <c r="J12">
        <v>6.7299999999999999E-2</v>
      </c>
      <c r="K12">
        <v>-0.32740000000000002</v>
      </c>
      <c r="L12">
        <v>1</v>
      </c>
      <c r="M12">
        <v>-0.23749999999999999</v>
      </c>
    </row>
    <row r="13" spans="1:13" x14ac:dyDescent="0.25">
      <c r="A13">
        <v>-0.33360000000000001</v>
      </c>
      <c r="B13">
        <v>-8.4000000000000005E-2</v>
      </c>
      <c r="C13">
        <v>6.3700000000000007E-2</v>
      </c>
      <c r="D13">
        <v>-5.67E-2</v>
      </c>
      <c r="E13">
        <v>-0.21379999999999999</v>
      </c>
      <c r="F13">
        <v>-0.54059999999999997</v>
      </c>
      <c r="G13">
        <v>0.95479999999999998</v>
      </c>
      <c r="H13">
        <v>-2.9100000000000001E-2</v>
      </c>
      <c r="I13">
        <v>0.28360000000000002</v>
      </c>
      <c r="J13">
        <v>-0.25879999999999997</v>
      </c>
      <c r="K13">
        <v>0.55100000000000005</v>
      </c>
      <c r="L13">
        <v>-0.23749999999999999</v>
      </c>
      <c r="M13">
        <v>1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893FB-841F-4BC9-AC44-D2199208CAF3}">
  <sheetPr>
    <tabColor theme="4" tint="0.59999389629810485"/>
  </sheetPr>
  <dimension ref="A1:T36"/>
  <sheetViews>
    <sheetView workbookViewId="0">
      <selection activeCell="W13" sqref="W13"/>
    </sheetView>
  </sheetViews>
  <sheetFormatPr defaultRowHeight="15" x14ac:dyDescent="0.25"/>
  <cols>
    <col min="16" max="16" width="12" bestFit="1" customWidth="1"/>
    <col min="19" max="19" width="7.7109375" customWidth="1"/>
  </cols>
  <sheetData>
    <row r="1" spans="1:20" x14ac:dyDescent="0.25">
      <c r="A1" s="1">
        <v>4.06301570844031</v>
      </c>
      <c r="B1" s="1">
        <v>0</v>
      </c>
      <c r="C1" s="1">
        <v>0</v>
      </c>
      <c r="D1" s="1">
        <v>0</v>
      </c>
      <c r="E1" s="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</row>
    <row r="2" spans="1:20" x14ac:dyDescent="0.25">
      <c r="A2" s="1">
        <v>0</v>
      </c>
      <c r="B2" s="1">
        <v>2.1702855043291098</v>
      </c>
      <c r="C2" s="1">
        <v>0</v>
      </c>
      <c r="D2" s="1">
        <v>0</v>
      </c>
      <c r="E2" s="1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20" x14ac:dyDescent="0.25">
      <c r="A3" s="1">
        <v>0</v>
      </c>
      <c r="B3" s="1">
        <v>0</v>
      </c>
      <c r="C3" s="1">
        <v>1.6008862070974099</v>
      </c>
      <c r="D3" s="1">
        <v>0</v>
      </c>
      <c r="E3" s="1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O3" t="s">
        <v>0</v>
      </c>
      <c r="P3" t="s">
        <v>1</v>
      </c>
      <c r="R3" t="s">
        <v>2</v>
      </c>
    </row>
    <row r="4" spans="1:20" x14ac:dyDescent="0.25">
      <c r="A4" s="1">
        <v>0</v>
      </c>
      <c r="B4" s="1">
        <v>0</v>
      </c>
      <c r="C4" s="1">
        <v>0</v>
      </c>
      <c r="D4" s="1">
        <v>1.3174486883505201</v>
      </c>
      <c r="E4" s="1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O4" s="1">
        <v>1</v>
      </c>
      <c r="P4">
        <v>4.06301570844031</v>
      </c>
      <c r="Q4">
        <f>P4/$M$16</f>
        <v>0.3125396698800238</v>
      </c>
      <c r="R4">
        <v>0.8</v>
      </c>
    </row>
    <row r="5" spans="1:20" x14ac:dyDescent="0.25">
      <c r="A5" s="1">
        <v>0</v>
      </c>
      <c r="B5" s="1">
        <v>0</v>
      </c>
      <c r="C5" s="1">
        <v>0</v>
      </c>
      <c r="D5" s="1">
        <v>0</v>
      </c>
      <c r="E5" s="1">
        <v>1.1342010930034301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O5" s="1">
        <v>2</v>
      </c>
      <c r="P5">
        <v>6.2333012127694198</v>
      </c>
      <c r="Q5">
        <f t="shared" ref="Q5:Q16" si="0">P5/$M$16</f>
        <v>0.47948470867457071</v>
      </c>
      <c r="R5">
        <v>0.8</v>
      </c>
    </row>
    <row r="6" spans="1:20" ht="26.25" x14ac:dyDescent="0.4">
      <c r="A6" s="1">
        <v>0</v>
      </c>
      <c r="B6" s="1">
        <v>0</v>
      </c>
      <c r="C6" s="1">
        <v>0</v>
      </c>
      <c r="D6" s="1">
        <v>0</v>
      </c>
      <c r="E6" s="1">
        <v>0</v>
      </c>
      <c r="F6">
        <v>0.93359728186612301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O6" s="1">
        <v>3</v>
      </c>
      <c r="P6">
        <v>7.8341874198668293</v>
      </c>
      <c r="Q6">
        <f t="shared" si="0"/>
        <v>0.60262980152821755</v>
      </c>
      <c r="R6">
        <v>0.8</v>
      </c>
      <c r="T6" s="33" t="s">
        <v>50</v>
      </c>
    </row>
    <row r="7" spans="1:20" x14ac:dyDescent="0.25">
      <c r="A7" s="1">
        <v>0</v>
      </c>
      <c r="B7" s="1">
        <v>0</v>
      </c>
      <c r="C7" s="1">
        <v>0</v>
      </c>
      <c r="D7" s="1">
        <v>0</v>
      </c>
      <c r="E7" s="1">
        <v>0</v>
      </c>
      <c r="F7">
        <v>0</v>
      </c>
      <c r="G7">
        <v>0.643530887107711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O7" s="1">
        <v>4</v>
      </c>
      <c r="P7">
        <v>9.1516361082173496</v>
      </c>
      <c r="Q7">
        <f t="shared" si="0"/>
        <v>0.70397200832441142</v>
      </c>
      <c r="R7">
        <v>0.8</v>
      </c>
    </row>
    <row r="8" spans="1:20" x14ac:dyDescent="0.25">
      <c r="A8" s="1">
        <v>0</v>
      </c>
      <c r="B8" s="1">
        <v>0</v>
      </c>
      <c r="C8" s="1">
        <v>0</v>
      </c>
      <c r="D8" s="1">
        <v>0</v>
      </c>
      <c r="E8" s="1">
        <v>0</v>
      </c>
      <c r="F8">
        <v>0</v>
      </c>
      <c r="G8">
        <v>0</v>
      </c>
      <c r="H8">
        <v>0.58867921437633997</v>
      </c>
      <c r="I8">
        <v>0</v>
      </c>
      <c r="J8">
        <v>0</v>
      </c>
      <c r="K8">
        <v>0</v>
      </c>
      <c r="L8">
        <v>0</v>
      </c>
      <c r="M8">
        <v>0</v>
      </c>
      <c r="O8" s="1">
        <v>5</v>
      </c>
      <c r="P8">
        <v>10.285837201220779</v>
      </c>
      <c r="Q8">
        <f t="shared" si="0"/>
        <v>0.79121824624775217</v>
      </c>
      <c r="R8">
        <v>0.8</v>
      </c>
    </row>
    <row r="9" spans="1:20" x14ac:dyDescent="0.25">
      <c r="A9" s="1">
        <v>0</v>
      </c>
      <c r="B9" s="1">
        <v>0</v>
      </c>
      <c r="C9" s="1">
        <v>0</v>
      </c>
      <c r="D9" s="1">
        <v>0</v>
      </c>
      <c r="E9" s="1">
        <v>0</v>
      </c>
      <c r="F9">
        <v>0</v>
      </c>
      <c r="G9">
        <v>0</v>
      </c>
      <c r="H9">
        <v>0</v>
      </c>
      <c r="I9">
        <v>0.34524758134744299</v>
      </c>
      <c r="J9">
        <v>0</v>
      </c>
      <c r="K9">
        <v>0</v>
      </c>
      <c r="L9">
        <v>0</v>
      </c>
      <c r="M9">
        <v>0</v>
      </c>
      <c r="O9">
        <v>6</v>
      </c>
      <c r="P9">
        <v>11.219434483086902</v>
      </c>
      <c r="Q9">
        <f t="shared" si="0"/>
        <v>0.86303342177591535</v>
      </c>
      <c r="R9">
        <v>0.8</v>
      </c>
    </row>
    <row r="10" spans="1:20" x14ac:dyDescent="0.25">
      <c r="A10" s="1">
        <v>0</v>
      </c>
      <c r="B10" s="1">
        <v>0</v>
      </c>
      <c r="C10" s="1">
        <v>0</v>
      </c>
      <c r="D10" s="1">
        <v>0</v>
      </c>
      <c r="E10" s="1">
        <v>0</v>
      </c>
      <c r="F10">
        <v>0</v>
      </c>
      <c r="G10">
        <v>0</v>
      </c>
      <c r="H10">
        <v>0</v>
      </c>
      <c r="I10">
        <v>0</v>
      </c>
      <c r="J10">
        <v>0.14938043525203901</v>
      </c>
      <c r="K10">
        <v>0</v>
      </c>
      <c r="L10">
        <v>0</v>
      </c>
      <c r="M10">
        <v>0</v>
      </c>
      <c r="O10">
        <v>7</v>
      </c>
      <c r="P10">
        <v>11.862965370194612</v>
      </c>
      <c r="Q10">
        <f t="shared" si="0"/>
        <v>0.91253579770727766</v>
      </c>
      <c r="R10">
        <v>0.8</v>
      </c>
    </row>
    <row r="11" spans="1:20" x14ac:dyDescent="0.25">
      <c r="A11" s="1">
        <v>0</v>
      </c>
      <c r="B11" s="1">
        <v>0</v>
      </c>
      <c r="C11" s="1">
        <v>0</v>
      </c>
      <c r="D11" s="1">
        <v>0</v>
      </c>
      <c r="E11" s="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2.8428808283652799E-2</v>
      </c>
      <c r="L11">
        <v>0</v>
      </c>
      <c r="M11">
        <v>0</v>
      </c>
      <c r="O11">
        <v>8</v>
      </c>
      <c r="P11">
        <v>12.451644584570952</v>
      </c>
      <c r="Q11">
        <f t="shared" si="0"/>
        <v>0.95781881419776538</v>
      </c>
      <c r="R11">
        <v>0.8</v>
      </c>
    </row>
    <row r="12" spans="1:20" x14ac:dyDescent="0.25">
      <c r="A12" s="1">
        <v>0</v>
      </c>
      <c r="B12" s="1">
        <v>0</v>
      </c>
      <c r="C12" s="1">
        <v>0</v>
      </c>
      <c r="D12" s="1">
        <v>0</v>
      </c>
      <c r="E12" s="1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2.2529847688458102E-2</v>
      </c>
      <c r="M12">
        <v>0</v>
      </c>
      <c r="O12">
        <v>9</v>
      </c>
      <c r="P12">
        <v>12.796892165918395</v>
      </c>
      <c r="Q12">
        <f t="shared" si="0"/>
        <v>0.98437632045526102</v>
      </c>
      <c r="R12">
        <v>0.8</v>
      </c>
    </row>
    <row r="13" spans="1:20" x14ac:dyDescent="0.25">
      <c r="A13" s="1">
        <v>0</v>
      </c>
      <c r="B13" s="1">
        <v>0</v>
      </c>
      <c r="C13" s="1">
        <v>0</v>
      </c>
      <c r="D13" s="1">
        <v>0</v>
      </c>
      <c r="E13" s="1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2.7687428574548699E-3</v>
      </c>
      <c r="O13">
        <v>10</v>
      </c>
      <c r="P13">
        <v>12.946272601170435</v>
      </c>
      <c r="Q13">
        <f t="shared" si="0"/>
        <v>0.99586712316695636</v>
      </c>
      <c r="R13">
        <v>0.8</v>
      </c>
    </row>
    <row r="14" spans="1:20" x14ac:dyDescent="0.25">
      <c r="O14">
        <v>11</v>
      </c>
      <c r="P14">
        <v>12.974701409454088</v>
      </c>
      <c r="Q14">
        <f t="shared" si="0"/>
        <v>0.9980539545733913</v>
      </c>
      <c r="R14">
        <v>0.8</v>
      </c>
    </row>
    <row r="15" spans="1:20" x14ac:dyDescent="0.25">
      <c r="A15">
        <f>SUM(A1:A13)</f>
        <v>4.06301570844031</v>
      </c>
      <c r="B15">
        <f t="shared" ref="B15:M15" si="1">SUM(B1:B13)</f>
        <v>2.1702855043291098</v>
      </c>
      <c r="C15">
        <f t="shared" si="1"/>
        <v>1.6008862070974099</v>
      </c>
      <c r="D15">
        <f t="shared" si="1"/>
        <v>1.3174486883505201</v>
      </c>
      <c r="E15">
        <f t="shared" si="1"/>
        <v>1.1342010930034301</v>
      </c>
      <c r="F15">
        <f t="shared" si="1"/>
        <v>0.93359728186612301</v>
      </c>
      <c r="G15">
        <f t="shared" si="1"/>
        <v>0.643530887107711</v>
      </c>
      <c r="H15">
        <f t="shared" si="1"/>
        <v>0.58867921437633997</v>
      </c>
      <c r="I15">
        <f t="shared" si="1"/>
        <v>0.34524758134744299</v>
      </c>
      <c r="J15">
        <f t="shared" si="1"/>
        <v>0.14938043525203901</v>
      </c>
      <c r="K15">
        <f t="shared" si="1"/>
        <v>2.8428808283652799E-2</v>
      </c>
      <c r="L15">
        <f t="shared" si="1"/>
        <v>2.2529847688458102E-2</v>
      </c>
      <c r="M15">
        <f t="shared" si="1"/>
        <v>2.7687428574548699E-3</v>
      </c>
      <c r="O15">
        <v>12</v>
      </c>
      <c r="P15">
        <v>12.997231257142547</v>
      </c>
      <c r="Q15">
        <f t="shared" si="0"/>
        <v>0.9997870197801958</v>
      </c>
      <c r="R15">
        <v>0.8</v>
      </c>
    </row>
    <row r="16" spans="1:20" x14ac:dyDescent="0.25">
      <c r="A16">
        <f>A15</f>
        <v>4.06301570844031</v>
      </c>
      <c r="B16">
        <f>A16+B15</f>
        <v>6.2333012127694198</v>
      </c>
      <c r="C16">
        <f>B16+C15</f>
        <v>7.8341874198668293</v>
      </c>
      <c r="D16">
        <f t="shared" ref="D16:L16" si="2">C16+D15</f>
        <v>9.1516361082173496</v>
      </c>
      <c r="E16">
        <f t="shared" si="2"/>
        <v>10.285837201220779</v>
      </c>
      <c r="F16">
        <f t="shared" si="2"/>
        <v>11.219434483086902</v>
      </c>
      <c r="G16">
        <f t="shared" si="2"/>
        <v>11.862965370194612</v>
      </c>
      <c r="H16">
        <f t="shared" si="2"/>
        <v>12.451644584570952</v>
      </c>
      <c r="I16">
        <f t="shared" si="2"/>
        <v>12.796892165918395</v>
      </c>
      <c r="J16">
        <f t="shared" si="2"/>
        <v>12.946272601170435</v>
      </c>
      <c r="K16">
        <f t="shared" si="2"/>
        <v>12.974701409454088</v>
      </c>
      <c r="L16">
        <f t="shared" si="2"/>
        <v>12.997231257142547</v>
      </c>
      <c r="M16">
        <f>L16+M15</f>
        <v>13.000000000000002</v>
      </c>
      <c r="O16">
        <v>13</v>
      </c>
      <c r="P16">
        <v>13.000000000000002</v>
      </c>
      <c r="Q16">
        <f t="shared" si="0"/>
        <v>1</v>
      </c>
      <c r="R16">
        <v>0.8</v>
      </c>
    </row>
    <row r="19" spans="1:13" x14ac:dyDescent="0.25">
      <c r="A19">
        <v>4.06301570844031</v>
      </c>
      <c r="B19">
        <v>6.2333012127694198</v>
      </c>
      <c r="C19">
        <v>7.8341874198668293</v>
      </c>
      <c r="D19">
        <v>9.1516361082173496</v>
      </c>
      <c r="E19">
        <v>10.285837201220779</v>
      </c>
      <c r="F19">
        <v>11.219434483086902</v>
      </c>
      <c r="G19">
        <v>11.862965370194612</v>
      </c>
      <c r="H19">
        <v>12.451644584570952</v>
      </c>
      <c r="I19">
        <v>12.796892165918395</v>
      </c>
      <c r="J19">
        <v>12.946272601170435</v>
      </c>
      <c r="K19">
        <v>12.974701409454088</v>
      </c>
      <c r="L19">
        <v>12.997231257142547</v>
      </c>
      <c r="M19">
        <v>13.000000000000002</v>
      </c>
    </row>
    <row r="23" spans="1:13" x14ac:dyDescent="0.25">
      <c r="A23">
        <v>4.06301570844031</v>
      </c>
      <c r="B23">
        <v>2.1702855043291098</v>
      </c>
      <c r="C23">
        <v>1.6008862070974099</v>
      </c>
      <c r="D23">
        <v>1.3174486883505201</v>
      </c>
      <c r="E23">
        <v>1.1342010930034301</v>
      </c>
      <c r="F23">
        <v>0.93359728186612301</v>
      </c>
      <c r="G23">
        <v>0.643530887107711</v>
      </c>
      <c r="H23">
        <v>0.58867921437633997</v>
      </c>
      <c r="I23">
        <v>0.34524758134744299</v>
      </c>
      <c r="J23">
        <v>0.14938043525203901</v>
      </c>
      <c r="K23">
        <v>2.8428808283652799E-2</v>
      </c>
      <c r="L23">
        <v>2.2529847688458102E-2</v>
      </c>
      <c r="M23">
        <v>2.7687428574548699E-3</v>
      </c>
    </row>
    <row r="24" spans="1:13" x14ac:dyDescent="0.25">
      <c r="A24">
        <v>4.06301570844031</v>
      </c>
    </row>
    <row r="25" spans="1:13" x14ac:dyDescent="0.25">
      <c r="A25">
        <v>2.1702855043291098</v>
      </c>
    </row>
    <row r="26" spans="1:13" x14ac:dyDescent="0.25">
      <c r="A26">
        <v>1.6008862070974099</v>
      </c>
    </row>
    <row r="27" spans="1:13" x14ac:dyDescent="0.25">
      <c r="A27">
        <v>1.3174486883505201</v>
      </c>
    </row>
    <row r="28" spans="1:13" x14ac:dyDescent="0.25">
      <c r="A28">
        <v>1.1342010930034301</v>
      </c>
    </row>
    <row r="29" spans="1:13" x14ac:dyDescent="0.25">
      <c r="A29">
        <v>0.93359728186612301</v>
      </c>
    </row>
    <row r="30" spans="1:13" x14ac:dyDescent="0.25">
      <c r="A30">
        <v>0.643530887107711</v>
      </c>
    </row>
    <row r="31" spans="1:13" x14ac:dyDescent="0.25">
      <c r="A31">
        <v>0.58867921437633997</v>
      </c>
    </row>
    <row r="32" spans="1:13" x14ac:dyDescent="0.25">
      <c r="A32">
        <v>0.34524758134744299</v>
      </c>
    </row>
    <row r="33" spans="1:1" x14ac:dyDescent="0.25">
      <c r="A33">
        <v>0.14938043525203901</v>
      </c>
    </row>
    <row r="34" spans="1:1" x14ac:dyDescent="0.25">
      <c r="A34">
        <v>2.8428808283652799E-2</v>
      </c>
    </row>
    <row r="35" spans="1:1" x14ac:dyDescent="0.25">
      <c r="A35">
        <v>2.2529847688458102E-2</v>
      </c>
    </row>
    <row r="36" spans="1:1" x14ac:dyDescent="0.25">
      <c r="A36">
        <v>2.7687428574548699E-3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D4002-1299-4BC7-B46E-585F5CB77F36}">
  <sheetPr>
    <tabColor theme="4" tint="0.59999389629810485"/>
  </sheetPr>
  <dimension ref="A1:M24"/>
  <sheetViews>
    <sheetView workbookViewId="0">
      <selection activeCell="E14" sqref="E14"/>
    </sheetView>
  </sheetViews>
  <sheetFormatPr defaultRowHeight="15" x14ac:dyDescent="0.25"/>
  <sheetData>
    <row r="1" spans="1:13" x14ac:dyDescent="0.25">
      <c r="A1" s="1">
        <v>-0.359208582155712</v>
      </c>
      <c r="B1" s="1">
        <v>0.26978510520323901</v>
      </c>
      <c r="C1" s="1">
        <v>-0.26669000136636001</v>
      </c>
      <c r="D1" s="1">
        <v>-4.4912913380348203E-2</v>
      </c>
      <c r="E1" s="1">
        <v>0.21134247720560301</v>
      </c>
      <c r="F1" s="29">
        <v>7.9176214512215404E-2</v>
      </c>
      <c r="G1" s="29">
        <v>-0.29913698937537803</v>
      </c>
      <c r="H1" s="29">
        <v>6.0969270940135101E-2</v>
      </c>
      <c r="I1" s="29">
        <v>-0.14429725379288</v>
      </c>
      <c r="J1" s="29">
        <v>-0.71612969440655905</v>
      </c>
      <c r="K1" s="29">
        <v>0.17444552672904201</v>
      </c>
      <c r="L1" s="29">
        <v>0.117091767135969</v>
      </c>
      <c r="M1" s="29">
        <v>5.5718923911387601E-2</v>
      </c>
    </row>
    <row r="2" spans="1:13" x14ac:dyDescent="0.25">
      <c r="A2" s="1">
        <v>0.15036954478127301</v>
      </c>
      <c r="B2" s="1">
        <v>-0.39150525309481599</v>
      </c>
      <c r="C2" s="1">
        <v>0.28533434961640203</v>
      </c>
      <c r="D2" s="1">
        <v>0.16535408337225499</v>
      </c>
      <c r="E2" s="1">
        <v>8.8431099273439298E-2</v>
      </c>
      <c r="F2" s="29">
        <v>-0.31685005537146599</v>
      </c>
      <c r="G2" s="29">
        <v>-0.53509006729888597</v>
      </c>
      <c r="H2" s="29">
        <v>0.243449676799458</v>
      </c>
      <c r="I2" s="29">
        <v>-0.50227246463699704</v>
      </c>
      <c r="J2" s="29">
        <v>2.4403895811176801E-2</v>
      </c>
      <c r="K2" s="29">
        <v>6.0107462535506702E-2</v>
      </c>
      <c r="L2" s="29">
        <v>6.0131104328737701E-2</v>
      </c>
      <c r="M2" s="29">
        <v>3.8078800607546301E-2</v>
      </c>
    </row>
    <row r="3" spans="1:13" x14ac:dyDescent="0.25">
      <c r="A3" s="1">
        <v>-1.04037733891667E-2</v>
      </c>
      <c r="B3" s="1">
        <v>-0.16652492656628001</v>
      </c>
      <c r="C3" s="1">
        <v>-0.276408462355269</v>
      </c>
      <c r="D3" s="1">
        <v>0.66451699568447298</v>
      </c>
      <c r="E3" s="1">
        <v>0.126935927011772</v>
      </c>
      <c r="F3" s="29">
        <v>0.14129355729850099</v>
      </c>
      <c r="G3" s="29">
        <v>-0.404514191230609</v>
      </c>
      <c r="H3" s="29">
        <v>-0.20007760262131399</v>
      </c>
      <c r="I3" s="29">
        <v>0.44382020601844402</v>
      </c>
      <c r="J3" s="29">
        <v>9.4570454988523997E-2</v>
      </c>
      <c r="K3" s="29">
        <v>-3.9894670183515703E-2</v>
      </c>
      <c r="L3" s="29">
        <v>-7.6982736794822607E-2</v>
      </c>
      <c r="M3" s="29">
        <v>-3.16146348662786E-2</v>
      </c>
    </row>
    <row r="4" spans="1:13" x14ac:dyDescent="0.25">
      <c r="A4" s="1">
        <v>-0.157489086634962</v>
      </c>
      <c r="B4" s="1">
        <v>0.175039160757334</v>
      </c>
      <c r="C4" s="1">
        <v>1.6042001835714501E-2</v>
      </c>
      <c r="D4" s="1">
        <v>-0.318478772874498</v>
      </c>
      <c r="E4" s="1">
        <v>-0.56725616436107895</v>
      </c>
      <c r="F4" s="29">
        <v>-0.38225422855177599</v>
      </c>
      <c r="G4" s="29">
        <v>-0.48159663150264298</v>
      </c>
      <c r="H4" s="29">
        <v>-4.1362623635561096E-3</v>
      </c>
      <c r="I4" s="29">
        <v>0.37032082347192202</v>
      </c>
      <c r="J4" s="29">
        <v>6.7289773294613095E-2</v>
      </c>
      <c r="K4" s="29">
        <v>-6.9106675894751602E-3</v>
      </c>
      <c r="L4" s="29">
        <v>-3.0328744094011598E-2</v>
      </c>
      <c r="M4" s="29">
        <v>-1.9725969520043799E-2</v>
      </c>
    </row>
    <row r="5" spans="1:13" x14ac:dyDescent="0.25">
      <c r="A5" s="1">
        <v>-0.30950620804573198</v>
      </c>
      <c r="B5" s="1">
        <v>0.38019711225971298</v>
      </c>
      <c r="C5" s="1">
        <v>0.23373645072235799</v>
      </c>
      <c r="D5" s="1">
        <v>0.30843265086569699</v>
      </c>
      <c r="E5" s="1">
        <v>5.9479427550837301E-2</v>
      </c>
      <c r="F5" s="29">
        <v>-6.49565174349261E-2</v>
      </c>
      <c r="G5" s="29">
        <v>8.4101078312395397E-2</v>
      </c>
      <c r="H5" s="29">
        <v>0.26452361465737101</v>
      </c>
      <c r="I5" s="29">
        <v>6.1803272291756597E-2</v>
      </c>
      <c r="J5" s="29">
        <v>0.36000429813927798</v>
      </c>
      <c r="K5" s="29">
        <v>0.43582405840723298</v>
      </c>
      <c r="L5" s="29">
        <v>0.44708071685984002</v>
      </c>
      <c r="M5" s="29">
        <v>4.2932884031472003E-2</v>
      </c>
    </row>
    <row r="6" spans="1:13" x14ac:dyDescent="0.25">
      <c r="A6" s="1">
        <v>-0.41586359070081502</v>
      </c>
      <c r="B6" s="1">
        <v>-0.19485035847362001</v>
      </c>
      <c r="C6" s="1">
        <v>-0.15259396117778801</v>
      </c>
      <c r="D6" s="1">
        <v>8.3114518414778099E-2</v>
      </c>
      <c r="E6" s="1">
        <v>-0.27618300837320697</v>
      </c>
      <c r="F6" s="29">
        <v>4.0405584203059897E-2</v>
      </c>
      <c r="G6" s="29">
        <v>8.4624173252891705E-2</v>
      </c>
      <c r="H6" s="29">
        <v>-0.27538290848031399</v>
      </c>
      <c r="I6" s="29">
        <v>-0.27637074526586197</v>
      </c>
      <c r="J6" s="29">
        <v>0.15159059961337401</v>
      </c>
      <c r="K6" s="29">
        <v>3.3178590229904401E-3</v>
      </c>
      <c r="L6" s="29">
        <v>-6.4745174312345194E-2</v>
      </c>
      <c r="M6" s="29">
        <v>0.70315557647437998</v>
      </c>
    </row>
    <row r="7" spans="1:13" x14ac:dyDescent="0.25">
      <c r="A7" s="1">
        <v>0.33337986260629898</v>
      </c>
      <c r="B7" s="1">
        <v>0.23076655405697499</v>
      </c>
      <c r="C7" s="1">
        <v>-0.264140984704551</v>
      </c>
      <c r="D7" s="1">
        <v>0.26661436662107801</v>
      </c>
      <c r="E7" s="1">
        <v>-0.40631953273425098</v>
      </c>
      <c r="F7" s="29">
        <v>4.3781575569460801E-2</v>
      </c>
      <c r="G7" s="29">
        <v>3.2496402211090902E-2</v>
      </c>
      <c r="H7" s="29">
        <v>0.13129064918899799</v>
      </c>
      <c r="I7" s="29">
        <v>-0.20693296701157499</v>
      </c>
      <c r="J7" s="29">
        <v>-9.7429126958142195E-2</v>
      </c>
      <c r="K7" s="29">
        <v>-0.44778270747998</v>
      </c>
      <c r="L7" s="29">
        <v>0.504493888381225</v>
      </c>
      <c r="M7" s="29">
        <v>4.5915362764766002E-2</v>
      </c>
    </row>
    <row r="8" spans="1:13" x14ac:dyDescent="0.25">
      <c r="A8" s="1">
        <v>-2.81348387706402E-2</v>
      </c>
      <c r="B8" s="1">
        <v>-0.10477586062127001</v>
      </c>
      <c r="C8" s="1">
        <v>-0.37553042489185101</v>
      </c>
      <c r="D8" s="1">
        <v>0.15655122343132</v>
      </c>
      <c r="E8" s="1">
        <v>0.15517184246829399</v>
      </c>
      <c r="F8" s="29">
        <v>-0.79588735378224995</v>
      </c>
      <c r="G8" s="29">
        <v>0.36371981962007499</v>
      </c>
      <c r="H8" s="29">
        <v>0.10348867355984399</v>
      </c>
      <c r="I8" s="29">
        <v>9.4893959043467396E-2</v>
      </c>
      <c r="J8" s="29">
        <v>-0.104394097551301</v>
      </c>
      <c r="K8" s="29">
        <v>7.1336192016985198E-3</v>
      </c>
      <c r="L8" s="29">
        <v>-4.5271724459360403E-2</v>
      </c>
      <c r="M8" s="29">
        <v>1.33664629217862E-2</v>
      </c>
    </row>
    <row r="9" spans="1:13" x14ac:dyDescent="0.25">
      <c r="A9" s="1">
        <v>0.16833768007038899</v>
      </c>
      <c r="B9" s="1">
        <v>0.260314858518785</v>
      </c>
      <c r="C9" s="1">
        <v>0.42925897026218202</v>
      </c>
      <c r="D9" s="1">
        <v>0.16506062275064401</v>
      </c>
      <c r="E9" s="1">
        <v>5.3125184003402201E-2</v>
      </c>
      <c r="F9" s="29">
        <v>-0.27071703033822703</v>
      </c>
      <c r="G9" s="29">
        <v>2.3830595753460401E-2</v>
      </c>
      <c r="H9" s="29">
        <v>-0.74528834366184105</v>
      </c>
      <c r="I9" s="29">
        <v>-5.4794734205276502E-2</v>
      </c>
      <c r="J9" s="29">
        <v>-0.21063156747395601</v>
      </c>
      <c r="K9" s="29">
        <v>1.1425846541696E-2</v>
      </c>
      <c r="L9" s="29">
        <v>0.110977818285975</v>
      </c>
      <c r="M9" s="29">
        <v>2.1046917895334898E-2</v>
      </c>
    </row>
    <row r="10" spans="1:13" x14ac:dyDescent="0.25">
      <c r="A10" s="1">
        <v>-7.0724728496223604E-2</v>
      </c>
      <c r="B10" s="1">
        <v>-0.37150102743678498</v>
      </c>
      <c r="C10" s="1">
        <v>0.391105337249115</v>
      </c>
      <c r="D10" s="1">
        <v>0.26845084044770401</v>
      </c>
      <c r="E10" s="1">
        <v>-0.42031411813290098</v>
      </c>
      <c r="F10" s="29">
        <v>8.6100595583488204E-2</v>
      </c>
      <c r="G10" s="29">
        <v>0.27273948543054999</v>
      </c>
      <c r="H10" s="29">
        <v>0.209251151303945</v>
      </c>
      <c r="I10" s="29">
        <v>0.25348794462748703</v>
      </c>
      <c r="J10" s="29">
        <v>-0.49520059583771098</v>
      </c>
      <c r="K10" s="29">
        <v>0.14199730432669</v>
      </c>
      <c r="L10" s="29">
        <v>-3.4198247139255902E-3</v>
      </c>
      <c r="M10" s="29">
        <v>-7.1359167243264703E-3</v>
      </c>
    </row>
    <row r="11" spans="1:13" x14ac:dyDescent="0.25">
      <c r="A11" s="1">
        <v>0.42188843374879897</v>
      </c>
      <c r="B11" s="1">
        <v>0.18539868150562</v>
      </c>
      <c r="C11" s="1">
        <v>0.15611827175092099</v>
      </c>
      <c r="D11" s="1">
        <v>-7.93000057770539E-2</v>
      </c>
      <c r="E11" s="1">
        <v>0.244868592970334</v>
      </c>
      <c r="F11" s="29">
        <v>-1.0856873019656601E-2</v>
      </c>
      <c r="G11" s="29">
        <v>-7.3837712864177799E-2</v>
      </c>
      <c r="H11" s="29">
        <v>0.26393733722588703</v>
      </c>
      <c r="I11" s="29">
        <v>0.33700871991201797</v>
      </c>
      <c r="J11" s="29">
        <v>-0.10254155788677299</v>
      </c>
      <c r="K11" s="29">
        <v>-2.6406886726284499E-2</v>
      </c>
      <c r="L11" s="29">
        <v>-7.4531776275566203E-2</v>
      </c>
      <c r="M11" s="29">
        <v>0.70102830870396204</v>
      </c>
    </row>
    <row r="12" spans="1:13" x14ac:dyDescent="0.25">
      <c r="A12" s="1">
        <v>-0.32008147904479001</v>
      </c>
      <c r="B12" s="1">
        <v>0.370409834714714</v>
      </c>
      <c r="C12" s="1">
        <v>0.280986845603587</v>
      </c>
      <c r="D12" s="1">
        <v>0.28182313343531901</v>
      </c>
      <c r="E12" s="1">
        <v>3.2296160168495798E-2</v>
      </c>
      <c r="F12" s="29">
        <v>-6.16780690951413E-2</v>
      </c>
      <c r="G12" s="29">
        <v>1.88733136701482E-2</v>
      </c>
      <c r="H12" s="29">
        <v>0.230710029086791</v>
      </c>
      <c r="I12" s="29">
        <v>-0.122011338488585</v>
      </c>
      <c r="J12" s="29">
        <v>3.40288743092154E-3</v>
      </c>
      <c r="K12" s="29">
        <v>-0.52504055965693497</v>
      </c>
      <c r="L12" s="29">
        <v>-0.50076020365561502</v>
      </c>
      <c r="M12" s="29">
        <v>-4.7002684027431602E-2</v>
      </c>
    </row>
    <row r="13" spans="1:13" x14ac:dyDescent="0.25">
      <c r="A13" s="1">
        <v>0.359159097411968</v>
      </c>
      <c r="B13" s="1">
        <v>0.30243962922420897</v>
      </c>
      <c r="C13" s="1">
        <v>-0.203807243392614</v>
      </c>
      <c r="D13" s="1">
        <v>0.212074112718251</v>
      </c>
      <c r="E13" s="1">
        <v>-0.31645438815655602</v>
      </c>
      <c r="F13" s="29">
        <v>3.77684954805695E-2</v>
      </c>
      <c r="G13" s="29">
        <v>1.6832577161700502E-2</v>
      </c>
      <c r="H13" s="29">
        <v>3.28697884501023E-2</v>
      </c>
      <c r="I13" s="29">
        <v>-0.25502939371686301</v>
      </c>
      <c r="J13" s="29">
        <v>-1.49033119864821E-3</v>
      </c>
      <c r="K13" s="29">
        <v>0.52644463340738601</v>
      </c>
      <c r="L13" s="29">
        <v>-0.49653533394076899</v>
      </c>
      <c r="M13" s="29">
        <v>-3.6811565486511301E-2</v>
      </c>
    </row>
    <row r="14" spans="1:13" ht="26.25" x14ac:dyDescent="0.4">
      <c r="E14" s="33" t="s">
        <v>50</v>
      </c>
    </row>
    <row r="17" spans="1:13" x14ac:dyDescent="0.25">
      <c r="A17" t="s">
        <v>61</v>
      </c>
    </row>
    <row r="18" spans="1:13" x14ac:dyDescent="0.25">
      <c r="A18" s="1">
        <v>-0.359208582155712</v>
      </c>
      <c r="B18" s="1">
        <v>0.15036954478127301</v>
      </c>
      <c r="C18" s="1">
        <v>-1.04037733891667E-2</v>
      </c>
      <c r="D18" s="1">
        <v>-0.157489086634962</v>
      </c>
      <c r="E18" s="1">
        <v>-0.30950620804573198</v>
      </c>
      <c r="F18" s="1">
        <v>-0.41586359070081502</v>
      </c>
      <c r="G18" s="1">
        <v>0.33337986260629898</v>
      </c>
      <c r="H18" s="1">
        <v>-2.81348387706402E-2</v>
      </c>
      <c r="I18" s="1">
        <v>0.16833768007038899</v>
      </c>
      <c r="J18" s="1">
        <v>-7.0724728496223604E-2</v>
      </c>
      <c r="K18" s="1">
        <v>0.42188843374879897</v>
      </c>
      <c r="L18" s="1">
        <v>-0.32008147904479001</v>
      </c>
      <c r="M18" s="1">
        <v>0.359159097411968</v>
      </c>
    </row>
    <row r="19" spans="1:13" x14ac:dyDescent="0.25">
      <c r="A19" s="1">
        <v>0.26978510520323901</v>
      </c>
      <c r="B19" s="1">
        <v>-0.39150525309481599</v>
      </c>
      <c r="C19" s="1">
        <v>-0.16652492656628001</v>
      </c>
      <c r="D19" s="1">
        <v>0.175039160757334</v>
      </c>
      <c r="E19" s="1">
        <v>0.38019711225971298</v>
      </c>
      <c r="F19" s="1">
        <v>-0.19485035847362001</v>
      </c>
      <c r="G19" s="1">
        <v>0.23076655405697499</v>
      </c>
      <c r="H19" s="1">
        <v>-0.10477586062127001</v>
      </c>
      <c r="I19" s="1">
        <v>0.260314858518785</v>
      </c>
      <c r="J19" s="1">
        <v>-0.37150102743678498</v>
      </c>
      <c r="K19" s="1">
        <v>0.18539868150562</v>
      </c>
      <c r="L19" s="1">
        <v>0.370409834714714</v>
      </c>
      <c r="M19" s="1">
        <v>0.30243962922420897</v>
      </c>
    </row>
    <row r="20" spans="1:13" x14ac:dyDescent="0.25">
      <c r="A20" s="1">
        <v>-0.26669000136636001</v>
      </c>
      <c r="B20" s="1">
        <v>0.28533434961640203</v>
      </c>
      <c r="C20" s="1">
        <v>-0.276408462355269</v>
      </c>
      <c r="D20" s="1">
        <v>1.6042001835714501E-2</v>
      </c>
      <c r="E20" s="1">
        <v>0.23373645072235799</v>
      </c>
      <c r="F20" s="1">
        <v>-0.15259396117778801</v>
      </c>
      <c r="G20" s="1">
        <v>-0.264140984704551</v>
      </c>
      <c r="H20" s="1">
        <v>-0.37553042489185101</v>
      </c>
      <c r="I20" s="1">
        <v>0.42925897026218202</v>
      </c>
      <c r="J20" s="1">
        <v>0.391105337249115</v>
      </c>
      <c r="K20" s="1">
        <v>0.15611827175092099</v>
      </c>
      <c r="L20" s="1">
        <v>0.280986845603587</v>
      </c>
      <c r="M20" s="1">
        <v>-0.203807243392614</v>
      </c>
    </row>
    <row r="21" spans="1:13" x14ac:dyDescent="0.25">
      <c r="A21" s="1">
        <v>-4.4912913380348203E-2</v>
      </c>
      <c r="B21" s="1">
        <v>0.16535408337225499</v>
      </c>
      <c r="C21" s="1">
        <v>0.66451699568447298</v>
      </c>
      <c r="D21" s="1">
        <v>-0.318478772874498</v>
      </c>
      <c r="E21" s="1">
        <v>0.30843265086569699</v>
      </c>
      <c r="F21" s="1">
        <v>8.3114518414778099E-2</v>
      </c>
      <c r="G21" s="1">
        <v>0.26661436662107801</v>
      </c>
      <c r="H21" s="1">
        <v>0.15655122343132</v>
      </c>
      <c r="I21" s="1">
        <v>0.16506062275064401</v>
      </c>
      <c r="J21" s="1">
        <v>0.26845084044770401</v>
      </c>
      <c r="K21" s="1">
        <v>-7.93000057770539E-2</v>
      </c>
      <c r="L21" s="1">
        <v>0.28182313343531901</v>
      </c>
      <c r="M21" s="1">
        <v>0.212074112718251</v>
      </c>
    </row>
    <row r="22" spans="1:13" x14ac:dyDescent="0.25">
      <c r="A22" s="1">
        <v>0.21134247720560301</v>
      </c>
      <c r="B22" s="1">
        <v>8.8431099273439298E-2</v>
      </c>
      <c r="C22" s="1">
        <v>0.126935927011772</v>
      </c>
      <c r="D22" s="1">
        <v>-0.56725616436107895</v>
      </c>
      <c r="E22" s="1">
        <v>5.9479427550837301E-2</v>
      </c>
      <c r="F22" s="1">
        <v>-0.27618300837320697</v>
      </c>
      <c r="G22" s="1">
        <v>-0.40631953273425098</v>
      </c>
      <c r="H22" s="1">
        <v>0.15517184246829399</v>
      </c>
      <c r="I22" s="1">
        <v>5.3125184003402201E-2</v>
      </c>
      <c r="J22" s="1">
        <v>-0.42031411813290098</v>
      </c>
      <c r="K22" s="1">
        <v>0.244868592970334</v>
      </c>
      <c r="L22" s="1">
        <v>3.2296160168495798E-2</v>
      </c>
      <c r="M22" s="1">
        <v>-0.31645438815655602</v>
      </c>
    </row>
    <row r="24" spans="1:13" x14ac:dyDescent="0.25">
      <c r="H24" s="30"/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4B75D-CFF9-4F1F-B2F4-A87785801910}">
  <sheetPr>
    <tabColor theme="4" tint="0.59999389629810485"/>
  </sheetPr>
  <dimension ref="A1:F32"/>
  <sheetViews>
    <sheetView workbookViewId="0">
      <selection activeCell="I22" sqref="I22"/>
    </sheetView>
  </sheetViews>
  <sheetFormatPr defaultRowHeight="15" x14ac:dyDescent="0.25"/>
  <sheetData>
    <row r="1" spans="1:5" x14ac:dyDescent="0.25">
      <c r="A1" cm="1">
        <f t="array" ref="A1:E30">MMULT('Step 1 - NOC6 - X &amp; X̆'!Q3:AC32,'Step 2 - Eiegenvectors'!A1:E13)</f>
        <v>0.28712945393636735</v>
      </c>
      <c r="B1">
        <v>0.20910010683328356</v>
      </c>
      <c r="C1">
        <v>0.76743553342045789</v>
      </c>
      <c r="D1">
        <v>-0.63975025398803309</v>
      </c>
      <c r="E1">
        <v>0.5600728612294128</v>
      </c>
    </row>
    <row r="2" spans="1:5" x14ac:dyDescent="0.25">
      <c r="A2">
        <v>-1.7601520579706369</v>
      </c>
      <c r="B2">
        <v>1.8241969305997621</v>
      </c>
      <c r="C2">
        <v>1.8558251226554507</v>
      </c>
      <c r="D2">
        <v>-0.35225801109537574</v>
      </c>
      <c r="E2">
        <v>0.12115400867774742</v>
      </c>
    </row>
    <row r="3" spans="1:5" x14ac:dyDescent="0.25">
      <c r="A3">
        <v>3.9918501805617308</v>
      </c>
      <c r="B3">
        <v>-1.3916826260927038</v>
      </c>
      <c r="C3">
        <v>1.4072122710074062</v>
      </c>
      <c r="D3">
        <v>1.2712042295656389</v>
      </c>
      <c r="E3">
        <v>-0.45243488860457731</v>
      </c>
    </row>
    <row r="4" spans="1:5" x14ac:dyDescent="0.25">
      <c r="A4">
        <v>-4.1726354266754653</v>
      </c>
      <c r="B4">
        <v>-1.5915977429618451</v>
      </c>
      <c r="C4">
        <v>1.3180578024965535</v>
      </c>
      <c r="D4">
        <v>-9.241894196468714E-2</v>
      </c>
      <c r="E4">
        <v>-1.2544125765217291</v>
      </c>
    </row>
    <row r="5" spans="1:5" x14ac:dyDescent="0.25">
      <c r="A5">
        <v>0.25652411060689589</v>
      </c>
      <c r="B5">
        <v>-2.2554812921287923</v>
      </c>
      <c r="C5">
        <v>-0.75417424204263317</v>
      </c>
      <c r="D5">
        <v>1.9414484912909071</v>
      </c>
      <c r="E5">
        <v>0.59772994214395736</v>
      </c>
    </row>
    <row r="6" spans="1:5" x14ac:dyDescent="0.25">
      <c r="A6">
        <v>-2.5055068908332272</v>
      </c>
      <c r="B6">
        <v>-2.3942069562151289</v>
      </c>
      <c r="C6">
        <v>-0.40751589634588786</v>
      </c>
      <c r="D6">
        <v>1.0810865916834516</v>
      </c>
      <c r="E6">
        <v>1.1706322651887153</v>
      </c>
    </row>
    <row r="7" spans="1:5" x14ac:dyDescent="0.25">
      <c r="A7">
        <v>-1.1794406605826162</v>
      </c>
      <c r="B7">
        <v>-0.38728397757768973</v>
      </c>
      <c r="C7">
        <v>-1.8297714645737675</v>
      </c>
      <c r="D7">
        <v>-0.83887344502216976</v>
      </c>
      <c r="E7">
        <v>-0.60424117101932318</v>
      </c>
    </row>
    <row r="8" spans="1:5" x14ac:dyDescent="0.25">
      <c r="A8">
        <v>-3.8649863471343304E-2</v>
      </c>
      <c r="B8">
        <v>1.3938351482563962</v>
      </c>
      <c r="C8">
        <v>-1.0835397183346547</v>
      </c>
      <c r="D8">
        <v>-0.83127943978430041</v>
      </c>
      <c r="E8">
        <v>-0.77387438472426673</v>
      </c>
    </row>
    <row r="9" spans="1:5" x14ac:dyDescent="0.25">
      <c r="A9">
        <v>0.72401155784338922</v>
      </c>
      <c r="B9">
        <v>0.5025200911583938</v>
      </c>
      <c r="C9">
        <v>2.6911023282492716E-2</v>
      </c>
      <c r="D9">
        <v>-2.0683839990098511</v>
      </c>
      <c r="E9">
        <v>1.3444988648712406</v>
      </c>
    </row>
    <row r="10" spans="1:5" x14ac:dyDescent="0.25">
      <c r="A10">
        <v>0.3436929897379602</v>
      </c>
      <c r="B10">
        <v>1.0718271166549123</v>
      </c>
      <c r="C10">
        <v>1.2231450192129183</v>
      </c>
      <c r="D10">
        <v>0.49076584998814043</v>
      </c>
      <c r="E10">
        <v>2.0332402256131887</v>
      </c>
    </row>
    <row r="11" spans="1:5" x14ac:dyDescent="0.25">
      <c r="A11">
        <v>-2.2640929166116566</v>
      </c>
      <c r="B11">
        <v>3.529004322334315E-2</v>
      </c>
      <c r="C11">
        <v>-1.2529054686312633</v>
      </c>
      <c r="D11">
        <v>0.13161303125617452</v>
      </c>
      <c r="E11">
        <v>-0.95392883742387058</v>
      </c>
    </row>
    <row r="12" spans="1:5" x14ac:dyDescent="0.25">
      <c r="A12">
        <v>-0.23699206476726467</v>
      </c>
      <c r="B12">
        <v>0.60818082020629627</v>
      </c>
      <c r="C12">
        <v>0.49748844067420339</v>
      </c>
      <c r="D12">
        <v>-0.71350953528211658</v>
      </c>
      <c r="E12">
        <v>2.4347077577888263</v>
      </c>
    </row>
    <row r="13" spans="1:5" x14ac:dyDescent="0.25">
      <c r="A13">
        <v>-2.9156101061648281</v>
      </c>
      <c r="B13">
        <v>1.2013109159841033</v>
      </c>
      <c r="C13">
        <v>-1.8674741418793641</v>
      </c>
      <c r="D13">
        <v>-0.34444223859793333</v>
      </c>
      <c r="E13">
        <v>0.332939822437193</v>
      </c>
    </row>
    <row r="14" spans="1:5" x14ac:dyDescent="0.25">
      <c r="A14">
        <v>1.7211836830175429</v>
      </c>
      <c r="B14">
        <v>2.2456380448677198</v>
      </c>
      <c r="C14">
        <v>-0.9516141926930588</v>
      </c>
      <c r="D14">
        <v>0.60568974018933253</v>
      </c>
      <c r="E14">
        <v>0.15728401574979145</v>
      </c>
    </row>
    <row r="15" spans="1:5" x14ac:dyDescent="0.25">
      <c r="A15">
        <v>-0.45664760774805191</v>
      </c>
      <c r="B15">
        <v>1.1799269858485013</v>
      </c>
      <c r="C15">
        <v>-0.31646419170572643</v>
      </c>
      <c r="D15">
        <v>-0.30109911312142834</v>
      </c>
      <c r="E15">
        <v>4.777431953812715E-2</v>
      </c>
    </row>
    <row r="16" spans="1:5" x14ac:dyDescent="0.25">
      <c r="A16">
        <v>0.70397211324495557</v>
      </c>
      <c r="B16">
        <v>-0.53316144079337979</v>
      </c>
      <c r="C16">
        <v>-1.0016308398268801</v>
      </c>
      <c r="D16">
        <v>-1.6642988048844711</v>
      </c>
      <c r="E16">
        <v>0.7620322018899035</v>
      </c>
    </row>
    <row r="17" spans="1:6" x14ac:dyDescent="0.25">
      <c r="A17">
        <v>-0.52469132861998091</v>
      </c>
      <c r="B17">
        <v>-0.48862513116781564</v>
      </c>
      <c r="C17">
        <v>-2.4683321777291822</v>
      </c>
      <c r="D17">
        <v>-0.3121337167746891</v>
      </c>
      <c r="E17">
        <v>-0.32486218365816188</v>
      </c>
    </row>
    <row r="18" spans="1:6" x14ac:dyDescent="0.25">
      <c r="A18">
        <v>2.8823017449571253</v>
      </c>
      <c r="B18">
        <v>1.16237373016517</v>
      </c>
      <c r="C18">
        <v>0.37134541332278875</v>
      </c>
      <c r="D18">
        <v>-0.82375752526100587</v>
      </c>
      <c r="E18">
        <v>-1.1873426130357838</v>
      </c>
    </row>
    <row r="19" spans="1:6" x14ac:dyDescent="0.25">
      <c r="A19">
        <v>-3.2107190868362228</v>
      </c>
      <c r="B19">
        <v>1.1685703403803569</v>
      </c>
      <c r="C19">
        <v>1.6614502415251473</v>
      </c>
      <c r="D19">
        <v>0.1083621545814567</v>
      </c>
      <c r="E19">
        <v>0.10948699402998957</v>
      </c>
    </row>
    <row r="20" spans="1:6" x14ac:dyDescent="0.25">
      <c r="A20">
        <v>1.3201229338366205</v>
      </c>
      <c r="B20">
        <v>1.1398920544128206</v>
      </c>
      <c r="C20">
        <v>-1.5994867711328238</v>
      </c>
      <c r="D20">
        <v>1.2929025617451197</v>
      </c>
      <c r="E20">
        <v>2.9169875758370989E-2</v>
      </c>
    </row>
    <row r="21" spans="1:6" x14ac:dyDescent="0.25">
      <c r="A21">
        <v>2.647014787768506</v>
      </c>
      <c r="B21">
        <v>0.30150229325919209</v>
      </c>
      <c r="C21">
        <v>-0.83055257559354434</v>
      </c>
      <c r="D21">
        <v>0.27753916636010562</v>
      </c>
      <c r="E21">
        <v>0.94228935513894352</v>
      </c>
    </row>
    <row r="22" spans="1:6" x14ac:dyDescent="0.25">
      <c r="A22">
        <v>0.61274487821579249</v>
      </c>
      <c r="B22">
        <v>0.42315093612606408</v>
      </c>
      <c r="C22">
        <v>1.1229977612571729</v>
      </c>
      <c r="D22">
        <v>-1.2718659053139527</v>
      </c>
      <c r="E22">
        <v>0.42689086428037781</v>
      </c>
    </row>
    <row r="23" spans="1:6" x14ac:dyDescent="0.25">
      <c r="A23">
        <v>0.6155249154263881</v>
      </c>
      <c r="B23">
        <v>2.423526973855807</v>
      </c>
      <c r="C23">
        <v>0.69921488719999214</v>
      </c>
      <c r="D23">
        <v>1.9944225496141166</v>
      </c>
      <c r="E23">
        <v>-0.61194740311102314</v>
      </c>
    </row>
    <row r="24" spans="1:6" x14ac:dyDescent="0.25">
      <c r="A24">
        <v>2.3518502580851983</v>
      </c>
      <c r="B24">
        <v>-1.6735407677305396</v>
      </c>
      <c r="C24">
        <v>0.29298272841695261</v>
      </c>
      <c r="D24">
        <v>-0.20719203701511957</v>
      </c>
      <c r="E24">
        <v>-0.73730902595774672</v>
      </c>
    </row>
    <row r="25" spans="1:6" x14ac:dyDescent="0.25">
      <c r="A25">
        <v>-2.1598117343385588</v>
      </c>
      <c r="B25">
        <v>-2.2304360075441476</v>
      </c>
      <c r="C25">
        <v>2.0676648353144715</v>
      </c>
      <c r="D25">
        <v>-1.5066129674257847</v>
      </c>
      <c r="E25">
        <v>-0.44243038087298581</v>
      </c>
    </row>
    <row r="26" spans="1:6" x14ac:dyDescent="0.25">
      <c r="A26">
        <v>0.23920036591676241</v>
      </c>
      <c r="B26">
        <v>1.3790246719379518</v>
      </c>
      <c r="C26">
        <v>0.44161859646047824</v>
      </c>
      <c r="D26">
        <v>-0.38314976834381148</v>
      </c>
      <c r="E26">
        <v>-3.2423031789439696</v>
      </c>
    </row>
    <row r="27" spans="1:6" x14ac:dyDescent="0.25">
      <c r="A27">
        <v>0.92780961279118712</v>
      </c>
      <c r="B27">
        <v>-1.1581703037618822</v>
      </c>
      <c r="C27">
        <v>-0.24058004314183204</v>
      </c>
      <c r="D27">
        <v>4.8030018673015977E-2</v>
      </c>
      <c r="E27">
        <v>0.17123138399114252</v>
      </c>
    </row>
    <row r="28" spans="1:6" x14ac:dyDescent="0.25">
      <c r="A28">
        <v>2.028480637815262</v>
      </c>
      <c r="B28">
        <v>-0.58651623885434556</v>
      </c>
      <c r="C28">
        <v>2.2255660341280556</v>
      </c>
      <c r="D28">
        <v>1.1617503657104669</v>
      </c>
      <c r="E28">
        <v>-0.17687686582375517</v>
      </c>
    </row>
    <row r="29" spans="1:6" x14ac:dyDescent="0.25">
      <c r="A29">
        <v>-2.5558392416922562</v>
      </c>
      <c r="B29">
        <v>-0.36029912608161185</v>
      </c>
      <c r="C29">
        <v>-0.45779574410179497</v>
      </c>
      <c r="D29">
        <v>2.9079746771435495</v>
      </c>
      <c r="E29">
        <v>7.2275586274861692E-2</v>
      </c>
    </row>
    <row r="30" spans="1:6" x14ac:dyDescent="0.25">
      <c r="A30">
        <v>2.327374762550944</v>
      </c>
      <c r="B30">
        <v>-3.2188655928588084</v>
      </c>
      <c r="C30">
        <v>-0.91707824264224769</v>
      </c>
      <c r="D30">
        <v>-0.96176372491821049</v>
      </c>
      <c r="E30">
        <v>-0.55144683490352819</v>
      </c>
    </row>
    <row r="31" spans="1:6" x14ac:dyDescent="0.25">
      <c r="F31" s="24"/>
    </row>
    <row r="32" spans="1:6" x14ac:dyDescent="0.25">
      <c r="A32" t="s">
        <v>53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73805-FB46-4AF2-9AF0-B355F703217B}">
  <sheetPr>
    <tabColor theme="9" tint="0.39997558519241921"/>
  </sheetPr>
  <dimension ref="A1:I34"/>
  <sheetViews>
    <sheetView workbookViewId="0">
      <selection activeCell="M20" sqref="M20"/>
    </sheetView>
  </sheetViews>
  <sheetFormatPr defaultRowHeight="15" x14ac:dyDescent="0.25"/>
  <cols>
    <col min="1" max="1" width="12.7109375" customWidth="1"/>
    <col min="8" max="8" width="9.140625" style="2"/>
  </cols>
  <sheetData>
    <row r="1" spans="1:9" s="36" customFormat="1" ht="30" x14ac:dyDescent="0.25">
      <c r="A1" s="35" t="s">
        <v>54</v>
      </c>
      <c r="B1" s="36">
        <v>4.06301570844031</v>
      </c>
      <c r="C1" s="36">
        <v>2.1702855043291098</v>
      </c>
      <c r="D1" s="36">
        <v>1.6008862070974099</v>
      </c>
      <c r="E1" s="36">
        <v>1.3174486883505201</v>
      </c>
      <c r="F1" s="36">
        <v>1.1342010930034301</v>
      </c>
      <c r="H1" s="37"/>
    </row>
    <row r="3" spans="1:9" x14ac:dyDescent="0.25">
      <c r="B3" s="34" t="s">
        <v>33</v>
      </c>
      <c r="C3" s="34"/>
      <c r="D3" s="34"/>
      <c r="E3" s="34"/>
      <c r="F3" s="34"/>
    </row>
    <row r="4" spans="1:9" x14ac:dyDescent="0.25">
      <c r="A4" s="7" t="s">
        <v>0</v>
      </c>
      <c r="B4" s="6">
        <v>1</v>
      </c>
      <c r="C4" s="6">
        <v>2</v>
      </c>
      <c r="D4" s="6">
        <v>3</v>
      </c>
      <c r="E4" s="6">
        <v>4</v>
      </c>
      <c r="F4" s="6">
        <v>5</v>
      </c>
      <c r="H4" s="2" t="s">
        <v>34</v>
      </c>
      <c r="I4" s="21" t="s">
        <v>58</v>
      </c>
    </row>
    <row r="5" spans="1:9" x14ac:dyDescent="0.25">
      <c r="A5" s="7">
        <v>1</v>
      </c>
      <c r="B5" s="7">
        <v>0.28712945393636735</v>
      </c>
      <c r="C5" s="7">
        <v>0.20910010683328356</v>
      </c>
      <c r="D5" s="7">
        <v>0.76743553342045789</v>
      </c>
      <c r="E5" s="7">
        <v>-0.63975025398803309</v>
      </c>
      <c r="F5" s="7">
        <v>0.5600728612294128</v>
      </c>
      <c r="H5" s="2">
        <f>(B5^2)/$B$1+(C5^2)/$C$1+(D5^2)/$D$1+(E5^2)/$E$1+(F5^2)/$F$1</f>
        <v>0.99555931979331203</v>
      </c>
    </row>
    <row r="6" spans="1:9" x14ac:dyDescent="0.25">
      <c r="A6" s="7">
        <v>2</v>
      </c>
      <c r="B6" s="7">
        <v>-1.7601520579706369</v>
      </c>
      <c r="C6" s="7">
        <v>1.8241969305997621</v>
      </c>
      <c r="D6" s="7">
        <v>1.8558251226554507</v>
      </c>
      <c r="E6" s="7">
        <v>-0.35225801109537574</v>
      </c>
      <c r="F6" s="7">
        <v>0.12115400867774742</v>
      </c>
      <c r="H6" s="2">
        <f>(B6^2)/$B$1+(C6^2)/$C$1+(D6^2)/$D$1+(E6^2)/$E$1+(F6^2)/$F$1</f>
        <v>4.5543097256426472</v>
      </c>
    </row>
    <row r="7" spans="1:9" x14ac:dyDescent="0.25">
      <c r="A7" s="7">
        <v>3</v>
      </c>
      <c r="B7" s="7">
        <v>3.9918501805617308</v>
      </c>
      <c r="C7" s="7">
        <v>-1.3916826260927038</v>
      </c>
      <c r="D7" s="7">
        <v>1.4072122710074062</v>
      </c>
      <c r="E7" s="7">
        <v>1.2712042295656389</v>
      </c>
      <c r="F7" s="7">
        <v>-0.45243488860457731</v>
      </c>
      <c r="H7" s="2">
        <f>(B7^2)/$B$1+(C7^2)/$C$1+(D7^2)/$D$1+(E7^2)/$E$1+(F7^2)/$F$1</f>
        <v>7.4583683050053962</v>
      </c>
    </row>
    <row r="8" spans="1:9" x14ac:dyDescent="0.25">
      <c r="A8" s="7">
        <v>4</v>
      </c>
      <c r="B8" s="7">
        <v>-4.1726354266754653</v>
      </c>
      <c r="C8" s="7">
        <v>-1.5915977429618451</v>
      </c>
      <c r="D8" s="7">
        <v>1.3180578024965535</v>
      </c>
      <c r="E8" s="7">
        <v>-9.241894196468714E-2</v>
      </c>
      <c r="F8" s="7">
        <v>-1.2544125765217291</v>
      </c>
      <c r="H8" s="2">
        <f>(B8^2)/$B$1+(C8^2)/$C$1+(D8^2)/$D$1+(E8^2)/$E$1+(F8^2)/$F$1</f>
        <v>7.9314695727041222</v>
      </c>
    </row>
    <row r="9" spans="1:9" x14ac:dyDescent="0.25">
      <c r="A9" s="7">
        <v>5</v>
      </c>
      <c r="B9" s="7">
        <v>0.25652411060689589</v>
      </c>
      <c r="C9" s="7">
        <v>-2.2554812921287923</v>
      </c>
      <c r="D9" s="7">
        <v>-0.75417424204263317</v>
      </c>
      <c r="E9" s="7">
        <v>1.9414484912909071</v>
      </c>
      <c r="F9" s="7">
        <v>0.59772994214395736</v>
      </c>
      <c r="H9" s="2">
        <f>(B9^2)/$B$1+(C9^2)/$C$1+(D9^2)/$D$1+(E9^2)/$E$1+(F9^2)/$F$1</f>
        <v>5.891515445243277</v>
      </c>
    </row>
    <row r="10" spans="1:9" x14ac:dyDescent="0.25">
      <c r="A10" s="7">
        <v>6</v>
      </c>
      <c r="B10" s="7">
        <v>-2.5055068908332272</v>
      </c>
      <c r="C10" s="7">
        <v>-2.3942069562151289</v>
      </c>
      <c r="D10" s="7">
        <v>-0.40751589634588786</v>
      </c>
      <c r="E10" s="7">
        <v>1.0810865916834516</v>
      </c>
      <c r="F10" s="7">
        <v>1.1706322651887153</v>
      </c>
      <c r="H10" s="2">
        <f>(B10^2)/$B$1+(C10^2)/$C$1+(D10^2)/$D$1+(E10^2)/$E$1+(F10^2)/$F$1</f>
        <v>6.3853817122825696</v>
      </c>
    </row>
    <row r="11" spans="1:9" x14ac:dyDescent="0.25">
      <c r="A11" s="7">
        <v>7</v>
      </c>
      <c r="B11" s="7">
        <v>-1.1794406605826162</v>
      </c>
      <c r="C11" s="7">
        <v>-0.38728397757768973</v>
      </c>
      <c r="D11" s="7">
        <v>-1.8297714645737675</v>
      </c>
      <c r="E11" s="7">
        <v>-0.83887344502216976</v>
      </c>
      <c r="F11" s="7">
        <v>-0.60424117101932318</v>
      </c>
      <c r="H11" s="2">
        <f>(B11^2)/$B$1+(C11^2)/$C$1+(D11^2)/$D$1+(E11^2)/$E$1+(F11^2)/$F$1</f>
        <v>3.3589200156335064</v>
      </c>
    </row>
    <row r="12" spans="1:9" x14ac:dyDescent="0.25">
      <c r="A12" s="7">
        <v>8</v>
      </c>
      <c r="B12" s="7">
        <v>-3.8649863471343304E-2</v>
      </c>
      <c r="C12" s="7">
        <v>1.3938351482563962</v>
      </c>
      <c r="D12" s="7">
        <v>-1.0835397183346547</v>
      </c>
      <c r="E12" s="7">
        <v>-0.83127943978430041</v>
      </c>
      <c r="F12" s="7">
        <v>-0.77387438472426673</v>
      </c>
      <c r="H12" s="2">
        <f>(B12^2)/$B$1+(C12^2)/$C$1+(D12^2)/$D$1+(E12^2)/$E$1+(F12^2)/$F$1</f>
        <v>2.6814573895144798</v>
      </c>
    </row>
    <row r="13" spans="1:9" x14ac:dyDescent="0.25">
      <c r="A13" s="7">
        <v>9</v>
      </c>
      <c r="B13" s="7">
        <v>0.72401155784338922</v>
      </c>
      <c r="C13" s="7">
        <v>0.5025200911583938</v>
      </c>
      <c r="D13" s="7">
        <v>2.6911023282492716E-2</v>
      </c>
      <c r="E13" s="7">
        <v>-2.0683839990098511</v>
      </c>
      <c r="F13" s="7">
        <v>1.3444988648712406</v>
      </c>
      <c r="H13" s="2">
        <f>(B13^2)/$B$1+(C13^2)/$C$1+(D13^2)/$D$1+(E13^2)/$E$1+(F13^2)/$F$1</f>
        <v>5.0869598403885687</v>
      </c>
    </row>
    <row r="14" spans="1:9" x14ac:dyDescent="0.25">
      <c r="A14" s="7">
        <v>10</v>
      </c>
      <c r="B14" s="7">
        <v>0.3436929897379602</v>
      </c>
      <c r="C14" s="7">
        <v>1.0718271166549123</v>
      </c>
      <c r="D14" s="7">
        <v>1.2231450192129183</v>
      </c>
      <c r="E14" s="7">
        <v>0.49076584998814043</v>
      </c>
      <c r="F14" s="7">
        <v>2.0332402256131887</v>
      </c>
      <c r="H14" s="2">
        <f>(B14^2)/$B$1+(C14^2)/$C$1+(D14^2)/$D$1+(E14^2)/$E$1+(F14^2)/$F$1</f>
        <v>5.3206760023134363</v>
      </c>
    </row>
    <row r="15" spans="1:9" x14ac:dyDescent="0.25">
      <c r="A15" s="7">
        <v>11</v>
      </c>
      <c r="B15" s="7">
        <v>-2.2640929166116566</v>
      </c>
      <c r="C15" s="7">
        <v>3.529004322334315E-2</v>
      </c>
      <c r="D15" s="7">
        <v>-1.2529054686312633</v>
      </c>
      <c r="E15" s="7">
        <v>0.13161303125617452</v>
      </c>
      <c r="F15" s="7">
        <v>-0.95392883742387058</v>
      </c>
      <c r="H15" s="2">
        <f>(B15^2)/$B$1+(C15^2)/$C$1+(D15^2)/$D$1+(E15^2)/$E$1+(F15^2)/$F$1</f>
        <v>3.0582490409744834</v>
      </c>
    </row>
    <row r="16" spans="1:9" x14ac:dyDescent="0.25">
      <c r="A16" s="7">
        <v>12</v>
      </c>
      <c r="B16" s="7">
        <v>-0.23699206476726467</v>
      </c>
      <c r="C16" s="7">
        <v>0.60818082020629627</v>
      </c>
      <c r="D16" s="7">
        <v>0.49748844067420339</v>
      </c>
      <c r="E16" s="7">
        <v>-0.71350953528211658</v>
      </c>
      <c r="F16" s="7">
        <v>2.4347077577888263</v>
      </c>
      <c r="H16" s="2">
        <f>(B16^2)/$B$1+(C16^2)/$C$1+(D16^2)/$D$1+(E16^2)/$E$1+(F16^2)/$F$1</f>
        <v>5.951690385252502</v>
      </c>
    </row>
    <row r="17" spans="1:8" x14ac:dyDescent="0.25">
      <c r="A17" s="7">
        <v>13</v>
      </c>
      <c r="B17" s="7">
        <v>-2.9156101061648281</v>
      </c>
      <c r="C17" s="7">
        <v>1.2013109159841033</v>
      </c>
      <c r="D17" s="7">
        <v>-1.8674741418793641</v>
      </c>
      <c r="E17" s="7">
        <v>-0.34444223859793333</v>
      </c>
      <c r="F17" s="7">
        <v>0.332939822437193</v>
      </c>
      <c r="H17" s="2">
        <f>(B17^2)/$B$1+(C17^2)/$C$1+(D17^2)/$D$1+(E17^2)/$E$1+(F17^2)/$F$1</f>
        <v>5.1234342210852617</v>
      </c>
    </row>
    <row r="18" spans="1:8" x14ac:dyDescent="0.25">
      <c r="A18" s="7">
        <v>14</v>
      </c>
      <c r="B18" s="7">
        <v>1.7211836830175429</v>
      </c>
      <c r="C18" s="7">
        <v>2.2456380448677198</v>
      </c>
      <c r="D18" s="7">
        <v>-0.9516141926930588</v>
      </c>
      <c r="E18" s="7">
        <v>0.60568974018933253</v>
      </c>
      <c r="F18" s="7">
        <v>0.15728401574979145</v>
      </c>
      <c r="H18" s="2">
        <f>(B18^2)/$B$1+(C18^2)/$C$1+(D18^2)/$D$1+(E18^2)/$E$1+(F18^2)/$F$1</f>
        <v>3.9186798175373343</v>
      </c>
    </row>
    <row r="19" spans="1:8" x14ac:dyDescent="0.25">
      <c r="A19" s="7">
        <v>15</v>
      </c>
      <c r="B19" s="7">
        <v>-0.45664760774805191</v>
      </c>
      <c r="C19" s="7">
        <v>1.1799269858485013</v>
      </c>
      <c r="D19" s="7">
        <v>-0.31646419170572643</v>
      </c>
      <c r="E19" s="7">
        <v>-0.30109911312142834</v>
      </c>
      <c r="F19" s="7">
        <v>4.777431953812715E-2</v>
      </c>
      <c r="H19" s="2">
        <f>(B19^2)/$B$1+(C19^2)/$C$1+(D19^2)/$D$1+(E19^2)/$E$1+(F19^2)/$F$1</f>
        <v>0.82620490452511064</v>
      </c>
    </row>
    <row r="20" spans="1:8" x14ac:dyDescent="0.25">
      <c r="A20" s="7">
        <v>16</v>
      </c>
      <c r="B20" s="7">
        <v>0.70397211324495557</v>
      </c>
      <c r="C20" s="7">
        <v>-0.53316144079337979</v>
      </c>
      <c r="D20" s="7">
        <v>-1.0016308398268801</v>
      </c>
      <c r="E20" s="7">
        <v>-1.6642988048844711</v>
      </c>
      <c r="F20" s="7">
        <v>0.7620322018899035</v>
      </c>
      <c r="H20" s="2">
        <f>(B20^2)/$B$1+(C20^2)/$C$1+(D20^2)/$D$1+(E20^2)/$E$1+(F20^2)/$F$1</f>
        <v>3.4940942181126862</v>
      </c>
    </row>
    <row r="21" spans="1:8" x14ac:dyDescent="0.25">
      <c r="A21" s="7">
        <v>17</v>
      </c>
      <c r="B21" s="7">
        <v>-0.52469132861998091</v>
      </c>
      <c r="C21" s="7">
        <v>-0.48862513116781564</v>
      </c>
      <c r="D21" s="7">
        <v>-2.4683321777291822</v>
      </c>
      <c r="E21" s="7">
        <v>-0.3121337167746891</v>
      </c>
      <c r="F21" s="7">
        <v>-0.32486218365816188</v>
      </c>
      <c r="H21" s="2">
        <f>(B21^2)/$B$1+(C21^2)/$C$1+(D21^2)/$D$1+(E21^2)/$E$1+(F21^2)/$F$1</f>
        <v>4.15057519956504</v>
      </c>
    </row>
    <row r="22" spans="1:8" x14ac:dyDescent="0.25">
      <c r="A22" s="7">
        <v>18</v>
      </c>
      <c r="B22" s="7">
        <v>2.8823017449571253</v>
      </c>
      <c r="C22" s="7">
        <v>1.16237373016517</v>
      </c>
      <c r="D22" s="7">
        <v>0.37134541332278875</v>
      </c>
      <c r="E22" s="7">
        <v>-0.82375752526100587</v>
      </c>
      <c r="F22" s="7">
        <v>-1.1873426130357838</v>
      </c>
      <c r="H22" s="2">
        <f>(B22^2)/$B$1+(C22^2)/$C$1+(D22^2)/$D$1+(E22^2)/$E$1+(F22^2)/$F$1</f>
        <v>4.5114351825813372</v>
      </c>
    </row>
    <row r="23" spans="1:8" x14ac:dyDescent="0.25">
      <c r="A23" s="7">
        <v>19</v>
      </c>
      <c r="B23" s="7">
        <v>-3.2107190868362228</v>
      </c>
      <c r="C23" s="7">
        <v>1.1685703403803569</v>
      </c>
      <c r="D23" s="7">
        <v>1.6614502415251473</v>
      </c>
      <c r="E23" s="7">
        <v>0.1083621545814567</v>
      </c>
      <c r="F23" s="7">
        <v>0.10948699402998957</v>
      </c>
      <c r="H23" s="2">
        <f>(B23^2)/$B$1+(C23^2)/$C$1+(D23^2)/$D$1+(E23^2)/$E$1+(F23^2)/$F$1</f>
        <v>4.9102017469186068</v>
      </c>
    </row>
    <row r="24" spans="1:8" x14ac:dyDescent="0.25">
      <c r="A24" s="7">
        <v>20</v>
      </c>
      <c r="B24" s="7">
        <v>1.3201229338366205</v>
      </c>
      <c r="C24" s="7">
        <v>1.1398920544128206</v>
      </c>
      <c r="D24" s="7">
        <v>-1.5994867711328238</v>
      </c>
      <c r="E24" s="7">
        <v>1.2929025617451197</v>
      </c>
      <c r="F24" s="7">
        <v>2.9169875758370989E-2</v>
      </c>
      <c r="H24" s="2">
        <f>(B24^2)/$B$1+(C24^2)/$C$1+(D24^2)/$D$1+(E24^2)/$E$1+(F24^2)/$F$1</f>
        <v>3.8952782606378236</v>
      </c>
    </row>
    <row r="25" spans="1:8" x14ac:dyDescent="0.25">
      <c r="A25" s="7">
        <v>21</v>
      </c>
      <c r="B25" s="7">
        <v>2.647014787768506</v>
      </c>
      <c r="C25" s="7">
        <v>0.30150229325919209</v>
      </c>
      <c r="D25" s="7">
        <v>-0.83055257559354434</v>
      </c>
      <c r="E25" s="7">
        <v>0.27753916636010562</v>
      </c>
      <c r="F25" s="7">
        <v>0.94228935513894352</v>
      </c>
      <c r="H25" s="2">
        <f>(B25^2)/$B$1+(C25^2)/$C$1+(D25^2)/$D$1+(E25^2)/$E$1+(F25^2)/$F$1</f>
        <v>3.0386044550692501</v>
      </c>
    </row>
    <row r="26" spans="1:8" x14ac:dyDescent="0.25">
      <c r="A26" s="7">
        <v>22</v>
      </c>
      <c r="B26" s="7">
        <v>0.61274487821579249</v>
      </c>
      <c r="C26" s="7">
        <v>0.42315093612606408</v>
      </c>
      <c r="D26" s="7">
        <v>1.1229977612571729</v>
      </c>
      <c r="E26" s="7">
        <v>-1.2718659053139527</v>
      </c>
      <c r="F26" s="7">
        <v>0.42689086428037781</v>
      </c>
      <c r="H26" s="2">
        <f>(B26^2)/$B$1+(C26^2)/$C$1+(D26^2)/$D$1+(E26^2)/$E$1+(F26^2)/$F$1</f>
        <v>2.3512117274090918</v>
      </c>
    </row>
    <row r="27" spans="1:8" x14ac:dyDescent="0.25">
      <c r="A27" s="7">
        <v>23</v>
      </c>
      <c r="B27" s="7">
        <v>0.6155249154263881</v>
      </c>
      <c r="C27" s="7">
        <v>2.423526973855807</v>
      </c>
      <c r="D27" s="7">
        <v>0.69921488719999214</v>
      </c>
      <c r="E27" s="7">
        <v>1.9944225496141166</v>
      </c>
      <c r="F27" s="7">
        <v>-0.61194740311102314</v>
      </c>
      <c r="H27" s="2">
        <f>(B27^2)/$B$1+(C27^2)/$C$1+(D27^2)/$D$1+(E27^2)/$E$1+(F27^2)/$F$1</f>
        <v>6.4543923719239862</v>
      </c>
    </row>
    <row r="28" spans="1:8" x14ac:dyDescent="0.25">
      <c r="A28" s="7">
        <v>24</v>
      </c>
      <c r="B28" s="7">
        <v>2.3518502580851983</v>
      </c>
      <c r="C28" s="7">
        <v>-1.6735407677305396</v>
      </c>
      <c r="D28" s="7">
        <v>0.29298272841695261</v>
      </c>
      <c r="E28" s="7">
        <v>-0.20719203701511957</v>
      </c>
      <c r="F28" s="7">
        <v>-0.73730902595774672</v>
      </c>
      <c r="H28" s="2">
        <f>(B28^2)/$B$1+(C28^2)/$C$1+(D28^2)/$D$1+(E28^2)/$E$1+(F28^2)/$F$1</f>
        <v>3.217352435865084</v>
      </c>
    </row>
    <row r="29" spans="1:8" x14ac:dyDescent="0.25">
      <c r="A29" s="7">
        <v>25</v>
      </c>
      <c r="B29" s="7">
        <v>-2.1598117343385588</v>
      </c>
      <c r="C29" s="7">
        <v>-2.2304360075441476</v>
      </c>
      <c r="D29" s="7">
        <v>2.0676648353144715</v>
      </c>
      <c r="E29" s="7">
        <v>-1.5066129674257847</v>
      </c>
      <c r="F29" s="7">
        <v>-0.44243038087298581</v>
      </c>
      <c r="H29" s="2">
        <f>(B29^2)/$B$1+(C29^2)/$C$1+(D29^2)/$D$1+(E29^2)/$E$1+(F29^2)/$F$1</f>
        <v>8.0064294593538232</v>
      </c>
    </row>
    <row r="30" spans="1:8" x14ac:dyDescent="0.25">
      <c r="A30" s="7">
        <v>26</v>
      </c>
      <c r="B30" s="7">
        <v>0.23920036591676241</v>
      </c>
      <c r="C30" s="7">
        <v>1.3790246719379518</v>
      </c>
      <c r="D30" s="7">
        <v>0.44161859646047824</v>
      </c>
      <c r="E30" s="7">
        <v>-0.38314976834381148</v>
      </c>
      <c r="F30" s="7">
        <v>-3.2423031789439696</v>
      </c>
      <c r="H30" s="2">
        <f>(B30^2)/$B$1+(C30^2)/$C$1+(D30^2)/$D$1+(E30^2)/$E$1+(F30^2)/$F$1</f>
        <v>10.392250340408625</v>
      </c>
    </row>
    <row r="31" spans="1:8" x14ac:dyDescent="0.25">
      <c r="A31" s="7">
        <v>27</v>
      </c>
      <c r="B31" s="7">
        <v>0.92780961279118712</v>
      </c>
      <c r="C31" s="7">
        <v>-1.1581703037618822</v>
      </c>
      <c r="D31" s="7">
        <v>-0.24058004314183204</v>
      </c>
      <c r="E31" s="7">
        <v>4.8030018673015977E-2</v>
      </c>
      <c r="F31" s="7">
        <v>0.17123138399114252</v>
      </c>
      <c r="H31" s="2">
        <f>(B31^2)/$B$1+(C31^2)/$C$1+(D31^2)/$D$1+(E31^2)/$E$1+(F31^2)/$F$1</f>
        <v>0.89368228620475154</v>
      </c>
    </row>
    <row r="32" spans="1:8" x14ac:dyDescent="0.25">
      <c r="A32" s="7">
        <v>28</v>
      </c>
      <c r="B32" s="7">
        <v>2.028480637815262</v>
      </c>
      <c r="C32" s="7">
        <v>-0.58651623885434556</v>
      </c>
      <c r="D32" s="7">
        <v>2.2255660341280556</v>
      </c>
      <c r="E32" s="7">
        <v>1.1617503657104669</v>
      </c>
      <c r="F32" s="7">
        <v>-0.17687686582375517</v>
      </c>
      <c r="H32" s="2">
        <f>(B32^2)/$B$1+(C32^2)/$C$1+(D32^2)/$D$1+(E32^2)/$E$1+(F32^2)/$F$1</f>
        <v>5.3172718622767645</v>
      </c>
    </row>
    <row r="33" spans="1:8" x14ac:dyDescent="0.25">
      <c r="A33" s="7">
        <v>29</v>
      </c>
      <c r="B33" s="7">
        <v>-2.5558392416922562</v>
      </c>
      <c r="C33" s="7">
        <v>-0.36029912608161185</v>
      </c>
      <c r="D33" s="7">
        <v>-0.45779574410179497</v>
      </c>
      <c r="E33" s="7">
        <v>2.9079746771435495</v>
      </c>
      <c r="F33" s="7">
        <v>7.2275586274861692E-2</v>
      </c>
      <c r="H33" s="2">
        <f>(B33^2)/$B$1+(C33^2)/$C$1+(D33^2)/$D$1+(E33^2)/$E$1+(F33^2)/$F$1</f>
        <v>8.2217905546668515</v>
      </c>
    </row>
    <row r="34" spans="1:8" x14ac:dyDescent="0.25">
      <c r="A34" s="7">
        <v>30</v>
      </c>
      <c r="B34" s="7">
        <v>2.327374762550944</v>
      </c>
      <c r="C34" s="7">
        <v>-3.2188655928588084</v>
      </c>
      <c r="D34" s="7">
        <v>-0.91707824264224769</v>
      </c>
      <c r="E34" s="7">
        <v>-0.96176372491821049</v>
      </c>
      <c r="F34" s="7">
        <v>-0.55144683490352819</v>
      </c>
      <c r="H34" s="2">
        <f>(B34^2)/$B$1+(C34^2)/$C$1+(D34^2)/$D$1+(E34^2)/$E$1+(F34^2)/$F$1</f>
        <v>7.6028096596188819</v>
      </c>
    </row>
  </sheetData>
  <mergeCells count="1">
    <mergeCell ref="B3:F3"/>
  </mergeCells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A0784-FE33-4003-A3E6-AE70CEE3FE72}">
  <sheetPr>
    <tabColor theme="9" tint="0.39997558519241921"/>
  </sheetPr>
  <dimension ref="A2:P65"/>
  <sheetViews>
    <sheetView topLeftCell="A37" workbookViewId="0">
      <selection activeCell="A3" sqref="A3"/>
    </sheetView>
  </sheetViews>
  <sheetFormatPr defaultRowHeight="15" x14ac:dyDescent="0.25"/>
  <cols>
    <col min="15" max="15" width="12.5703125" customWidth="1"/>
  </cols>
  <sheetData>
    <row r="2" spans="1:13" s="25" customFormat="1" ht="26.25" x14ac:dyDescent="0.4">
      <c r="A2" s="28" t="s">
        <v>57</v>
      </c>
    </row>
    <row r="3" spans="1:13" x14ac:dyDescent="0.25">
      <c r="A3" s="24" cm="1">
        <f t="array" ref="A3:M32">MMULT(_xlfn.ANCHORARRAY('Step 2 - P=X̆V'!A1),'Step 2 - Eiegenvectors'!A18:M22)</f>
        <v>-0.10429441952982124</v>
      </c>
      <c r="B3" s="24">
        <v>0.12402999579121109</v>
      </c>
      <c r="C3" s="24">
        <v>-0.60396483439128257</v>
      </c>
      <c r="D3" s="24">
        <v>-0.11026575318361789</v>
      </c>
      <c r="E3" s="24">
        <v>6.001512468195587E-3</v>
      </c>
      <c r="F3" s="24">
        <v>-0.4851110864649722</v>
      </c>
      <c r="G3" s="24">
        <v>-0.45686984051911539</v>
      </c>
      <c r="H3" s="24">
        <v>-0.33142852364361453</v>
      </c>
      <c r="I3" s="24">
        <v>0.35635155618074599</v>
      </c>
      <c r="J3" s="24">
        <v>-0.20498794820079305</v>
      </c>
      <c r="K3" s="24">
        <v>0.46759064119902322</v>
      </c>
      <c r="L3" s="24">
        <v>3.8978987094935046E-2</v>
      </c>
      <c r="M3" s="24">
        <v>-0.30295558834961944</v>
      </c>
    </row>
    <row r="4" spans="1:13" x14ac:dyDescent="0.25">
      <c r="A4" s="24">
        <v>0.67089880331587093</v>
      </c>
      <c r="B4" s="24">
        <v>-0.49685880870389182</v>
      </c>
      <c r="C4" s="24">
        <v>-1.0171304441586133</v>
      </c>
      <c r="D4" s="24">
        <v>0.66974313061049373</v>
      </c>
      <c r="E4" s="24">
        <v>1.5706646705151313</v>
      </c>
      <c r="F4" s="24">
        <v>3.0611588890974074E-2</v>
      </c>
      <c r="G4" s="24">
        <v>-0.79917937370450032</v>
      </c>
      <c r="H4" s="24">
        <v>-0.87487573767074656</v>
      </c>
      <c r="I4" s="24">
        <v>0.92348763535079659</v>
      </c>
      <c r="J4" s="24">
        <v>2.7131653470098112E-2</v>
      </c>
      <c r="K4" s="24">
        <v>-5.7055004383739998E-2</v>
      </c>
      <c r="L4" s="24">
        <v>1.6651933576210836</v>
      </c>
      <c r="M4" s="24">
        <v>-0.57174030643296514</v>
      </c>
    </row>
    <row r="5" spans="1:13" x14ac:dyDescent="0.25">
      <c r="A5" s="24">
        <v>-2.3373637252884123</v>
      </c>
      <c r="B5" s="24">
        <v>1.7168192469721113</v>
      </c>
      <c r="C5" s="24">
        <v>0.58856073592982727</v>
      </c>
      <c r="D5" s="24">
        <v>-0.99790237956933558</v>
      </c>
      <c r="E5" s="24">
        <v>-1.0705290043181828</v>
      </c>
      <c r="F5" s="24">
        <v>-1.3730170297284507</v>
      </c>
      <c r="G5" s="24">
        <v>1.1607006688661641</v>
      </c>
      <c r="H5" s="24">
        <v>-0.36614291630270124</v>
      </c>
      <c r="I5" s="24">
        <v>1.0995516981315778</v>
      </c>
      <c r="J5" s="24">
        <v>1.3164778500989396</v>
      </c>
      <c r="K5" s="24">
        <v>1.4341972468898847</v>
      </c>
      <c r="L5" s="24">
        <v>-1.0541592547164873</v>
      </c>
      <c r="M5" s="24">
        <v>1.1387737915216842</v>
      </c>
    </row>
    <row r="6" spans="1:13" x14ac:dyDescent="0.25">
      <c r="A6" s="24">
        <v>0.45698439636903981</v>
      </c>
      <c r="B6" s="24">
        <v>0.24555782084914232</v>
      </c>
      <c r="C6" s="24">
        <v>-0.27651446071364116</v>
      </c>
      <c r="D6" s="24">
        <v>1.1407036326150106</v>
      </c>
      <c r="E6" s="24">
        <v>0.89129709409243829</v>
      </c>
      <c r="F6" s="24">
        <v>2.1830089641115253</v>
      </c>
      <c r="G6" s="24">
        <v>-1.6214611234157914</v>
      </c>
      <c r="H6" s="24">
        <v>-0.41993116749075271</v>
      </c>
      <c r="I6" s="24">
        <v>-0.63283580079683621</v>
      </c>
      <c r="J6" s="24">
        <v>1.9043255190328248</v>
      </c>
      <c r="K6" s="24">
        <v>-2.1495312615891899</v>
      </c>
      <c r="L6" s="24">
        <v>1.0498382609268786</v>
      </c>
      <c r="M6" s="24">
        <v>-1.871267233004827</v>
      </c>
    </row>
    <row r="7" spans="1:13" x14ac:dyDescent="0.25">
      <c r="A7" s="24">
        <v>-0.46038057134902899</v>
      </c>
      <c r="B7" s="24">
        <v>1.0802987225565024</v>
      </c>
      <c r="C7" s="24">
        <v>1.9473841034362309</v>
      </c>
      <c r="D7" s="24">
        <v>-1.4046718923424382</v>
      </c>
      <c r="E7" s="24">
        <v>-0.47884254985390667</v>
      </c>
      <c r="F7" s="24">
        <v>0.44416443833974339</v>
      </c>
      <c r="G7" s="24">
        <v>3.8987363196513775E-2</v>
      </c>
      <c r="H7" s="24">
        <v>0.90900509552344766</v>
      </c>
      <c r="I7" s="24">
        <v>-0.51547746815655449</v>
      </c>
      <c r="J7" s="24">
        <v>0.79475859369530966</v>
      </c>
      <c r="K7" s="24">
        <v>-0.43527066841147144</v>
      </c>
      <c r="L7" s="24">
        <v>-0.56302463149243265</v>
      </c>
      <c r="M7" s="24">
        <v>-0.21373108132048144</v>
      </c>
    </row>
    <row r="8" spans="1:13" x14ac:dyDescent="0.25">
      <c r="A8" s="24">
        <v>0.56160819160289766</v>
      </c>
      <c r="B8" s="24">
        <v>0.72659676696068576</v>
      </c>
      <c r="C8" s="24">
        <v>1.4043984115315955</v>
      </c>
      <c r="D8" s="24">
        <v>-1.0393788549762937</v>
      </c>
      <c r="E8" s="24">
        <v>0.17301898717855976</v>
      </c>
      <c r="F8" s="24">
        <v>1.337190891426312</v>
      </c>
      <c r="G8" s="24">
        <v>-1.4675643199574531</v>
      </c>
      <c r="H8" s="24">
        <v>0.82527633846555282</v>
      </c>
      <c r="I8" s="24">
        <v>-0.97931383594686505</v>
      </c>
      <c r="J8" s="24">
        <v>0.70545533258853288</v>
      </c>
      <c r="K8" s="24">
        <v>-1.3636269656064268</v>
      </c>
      <c r="L8" s="24">
        <v>0.1431040801208821</v>
      </c>
      <c r="M8" s="24">
        <v>-1.6821052036556801</v>
      </c>
    </row>
    <row r="9" spans="1:13" x14ac:dyDescent="0.25">
      <c r="A9" s="24">
        <v>0.71713793763817346</v>
      </c>
      <c r="B9" s="24">
        <v>-0.73996975490449446</v>
      </c>
      <c r="C9" s="24">
        <v>-5.1618188358156722E-2</v>
      </c>
      <c r="D9" s="24">
        <v>0.69852888716083239</v>
      </c>
      <c r="E9" s="24">
        <v>-0.50456021053404176</v>
      </c>
      <c r="F9" s="24">
        <v>0.94231950782102669</v>
      </c>
      <c r="G9" s="24">
        <v>2.2602960159946645E-2</v>
      </c>
      <c r="H9" s="24">
        <v>0.53580836050239711</v>
      </c>
      <c r="I9" s="24">
        <v>-1.2553712897481237</v>
      </c>
      <c r="J9" s="24">
        <v>-0.45956655607278585</v>
      </c>
      <c r="K9" s="24">
        <v>-0.93649208687818608</v>
      </c>
      <c r="L9" s="24">
        <v>-0.53600700751486774</v>
      </c>
      <c r="M9" s="24">
        <v>-0.15450475891771387</v>
      </c>
    </row>
    <row r="10" spans="1:13" x14ac:dyDescent="0.25">
      <c r="A10" s="24">
        <v>0.55267118568985985</v>
      </c>
      <c r="B10" s="24">
        <v>-1.066566658013631</v>
      </c>
      <c r="C10" s="24">
        <v>-0.58283842215744974</v>
      </c>
      <c r="D10" s="24">
        <v>0.93641039120522929</v>
      </c>
      <c r="E10" s="24">
        <v>-1.3791583585053314E-2</v>
      </c>
      <c r="F10" s="24">
        <v>5.4464975796882559E-2</v>
      </c>
      <c r="G10" s="24">
        <v>0.68778193315315439</v>
      </c>
      <c r="H10" s="24">
        <v>1.1727933839727145E-2</v>
      </c>
      <c r="I10" s="24">
        <v>-0.28711309376003774</v>
      </c>
      <c r="J10" s="24">
        <v>-0.8367431902123843</v>
      </c>
      <c r="K10" s="24">
        <v>-5.0628147187462696E-2</v>
      </c>
      <c r="L10" s="24">
        <v>-3.5066002750775475E-2</v>
      </c>
      <c r="M10" s="24">
        <v>0.69710587377383559</v>
      </c>
    </row>
    <row r="11" spans="1:13" x14ac:dyDescent="0.25">
      <c r="A11" s="24">
        <v>0.24537124175349523</v>
      </c>
      <c r="B11" s="24">
        <v>-0.30331155540474231</v>
      </c>
      <c r="C11" s="24">
        <v>-1.3024641191882489</v>
      </c>
      <c r="D11" s="24">
        <v>-0.12957038848972868</v>
      </c>
      <c r="E11" s="24">
        <v>-0.58472643426863247</v>
      </c>
      <c r="F11" s="24">
        <v>-0.94635320692711278</v>
      </c>
      <c r="G11" s="24">
        <v>-0.74752964109042086</v>
      </c>
      <c r="H11" s="24">
        <v>-0.19830751099831068</v>
      </c>
      <c r="I11" s="24">
        <v>-5.7383308081903478E-3</v>
      </c>
      <c r="J11" s="24">
        <v>-1.347738483814773</v>
      </c>
      <c r="K11" s="24">
        <v>0.89606837529321615</v>
      </c>
      <c r="L11" s="24">
        <v>-0.57753897189130832</v>
      </c>
      <c r="M11" s="24">
        <v>-0.45759060080420894</v>
      </c>
    </row>
    <row r="12" spans="1:13" x14ac:dyDescent="0.25">
      <c r="A12" s="24">
        <v>0.24717327496527</v>
      </c>
      <c r="B12" s="24">
        <v>0.24201210588834765</v>
      </c>
      <c r="C12" s="24">
        <v>6.4064211222955858E-2</v>
      </c>
      <c r="D12" s="24">
        <v>-1.1565610386958083</v>
      </c>
      <c r="E12" s="24">
        <v>0.85932821287672012</v>
      </c>
      <c r="F12" s="24">
        <v>-1.0591764772687484</v>
      </c>
      <c r="G12" s="24">
        <v>-0.65646055001229131</v>
      </c>
      <c r="H12" s="24">
        <v>-0.18896789798398472</v>
      </c>
      <c r="I12" s="24">
        <v>1.0509373541388303</v>
      </c>
      <c r="J12" s="24">
        <v>-0.66696699070193555</v>
      </c>
      <c r="K12" s="24">
        <v>0.99362965633839462</v>
      </c>
      <c r="L12" s="24">
        <v>0.83466822690875664</v>
      </c>
      <c r="M12" s="24">
        <v>-0.34103141428358597</v>
      </c>
    </row>
    <row r="13" spans="1:13" x14ac:dyDescent="0.25">
      <c r="A13" s="24">
        <v>0.9494228873581364</v>
      </c>
      <c r="B13" s="24">
        <v>-0.77435804911883455</v>
      </c>
      <c r="C13" s="24">
        <v>0.33036336668265109</v>
      </c>
      <c r="D13" s="24">
        <v>0.84185400991673021</v>
      </c>
      <c r="E13" s="24">
        <v>0.40517292342481098</v>
      </c>
      <c r="F13" s="24">
        <v>1.4002612306531903</v>
      </c>
      <c r="G13" s="24">
        <v>6.9743048765020244E-3</v>
      </c>
      <c r="H13" s="24">
        <v>0.40308775328091095</v>
      </c>
      <c r="I13" s="24">
        <v>-0.93872005385096391</v>
      </c>
      <c r="J13" s="24">
        <v>9.3280440569478817E-2</v>
      </c>
      <c r="K13" s="24">
        <v>-1.3882774497499082</v>
      </c>
      <c r="L13" s="24">
        <v>0.39199939139788981</v>
      </c>
      <c r="M13" s="24">
        <v>-0.21735856758835115</v>
      </c>
    </row>
    <row r="14" spans="1:13" x14ac:dyDescent="0.25">
      <c r="A14" s="24">
        <v>0.66313547796296801</v>
      </c>
      <c r="B14" s="24">
        <v>-3.446966592975606E-2</v>
      </c>
      <c r="C14" s="24">
        <v>-0.40140899615350012</v>
      </c>
      <c r="D14" s="24">
        <v>-1.0021055081364612</v>
      </c>
      <c r="E14" s="24">
        <v>0.34560567557765809</v>
      </c>
      <c r="F14" s="24">
        <v>-0.82758952607992864</v>
      </c>
      <c r="G14" s="24">
        <v>-1.249568887783711</v>
      </c>
      <c r="H14" s="24">
        <v>2.2220317146128654E-2</v>
      </c>
      <c r="I14" s="24">
        <v>0.34354715494382854</v>
      </c>
      <c r="J14" s="24">
        <v>-1.2294924943104188</v>
      </c>
      <c r="K14" s="24">
        <v>0.74320351995537737</v>
      </c>
      <c r="L14" s="24">
        <v>0.31846885411099257</v>
      </c>
      <c r="M14" s="24">
        <v>-0.9243624774666912</v>
      </c>
    </row>
    <row r="15" spans="1:13" x14ac:dyDescent="0.25">
      <c r="A15" s="24">
        <v>1.9552788769153053</v>
      </c>
      <c r="B15" s="24">
        <v>-1.4691057144782269</v>
      </c>
      <c r="C15" s="24">
        <v>0.15984509423354704</v>
      </c>
      <c r="D15" s="24">
        <v>0.56033057836990086</v>
      </c>
      <c r="E15" s="24">
        <v>0.83620342887001919</v>
      </c>
      <c r="F15" s="24">
        <v>1.1428050293712566</v>
      </c>
      <c r="G15" s="24">
        <v>-0.42862005979042489</v>
      </c>
      <c r="H15" s="24">
        <v>0.65519522495825511</v>
      </c>
      <c r="I15" s="24">
        <v>-1.0188843483400465</v>
      </c>
      <c r="J15" s="24">
        <v>-1.2028667267598141</v>
      </c>
      <c r="K15" s="24">
        <v>-1.1900467794053624</v>
      </c>
      <c r="L15" s="24">
        <v>0.76715539141963762</v>
      </c>
      <c r="M15" s="24">
        <v>-0.48164665909438353</v>
      </c>
    </row>
    <row r="16" spans="1:13" x14ac:dyDescent="0.25">
      <c r="A16" s="24">
        <v>0.24739923880323203</v>
      </c>
      <c r="B16" s="24">
        <v>-0.77783163076491157</v>
      </c>
      <c r="C16" s="24">
        <v>0.29362881905330968</v>
      </c>
      <c r="D16" s="24">
        <v>-0.17537849674482717</v>
      </c>
      <c r="E16" s="24">
        <v>0.29481079628965606</v>
      </c>
      <c r="F16" s="24">
        <v>-1.0012279871179544</v>
      </c>
      <c r="G16" s="24">
        <v>1.4409644616181716</v>
      </c>
      <c r="H16" s="24">
        <v>0.19287371826504909</v>
      </c>
      <c r="I16" s="24">
        <v>0.57415535765285097</v>
      </c>
      <c r="J16" s="24">
        <v>-1.2316792519291968</v>
      </c>
      <c r="K16" s="24">
        <v>0.98440417347996467</v>
      </c>
      <c r="L16" s="24">
        <v>0.18927337805846639</v>
      </c>
      <c r="M16" s="24">
        <v>1.5699724783827127</v>
      </c>
    </row>
    <row r="17" spans="1:13" x14ac:dyDescent="0.25">
      <c r="A17" s="24">
        <v>0.59037628287618049</v>
      </c>
      <c r="B17" s="24">
        <v>-0.6664748427083822</v>
      </c>
      <c r="C17" s="24">
        <v>-0.29828421633917712</v>
      </c>
      <c r="D17" s="24">
        <v>0.342167123676206</v>
      </c>
      <c r="E17" s="24">
        <v>0.42594367677855149</v>
      </c>
      <c r="F17" s="24">
        <v>-2.9935720814159732E-2</v>
      </c>
      <c r="G17" s="24">
        <v>0.10395274252696492</v>
      </c>
      <c r="H17" s="24">
        <v>-3.1662431567084995E-2</v>
      </c>
      <c r="I17" s="24">
        <v>4.727484682380588E-2</v>
      </c>
      <c r="J17" s="24">
        <v>-0.63072917485258595</v>
      </c>
      <c r="K17" s="24">
        <v>1.2272312576512224E-2</v>
      </c>
      <c r="L17" s="24">
        <v>0.41098495806122248</v>
      </c>
      <c r="M17" s="24">
        <v>0.1783715117070373</v>
      </c>
    </row>
    <row r="18" spans="1:13" x14ac:dyDescent="0.25">
      <c r="A18" s="24">
        <v>0.10621137129203148</v>
      </c>
      <c r="B18" s="24">
        <v>-0.17901947125649736</v>
      </c>
      <c r="C18" s="24">
        <v>-0.65090563406160984</v>
      </c>
      <c r="D18" s="24">
        <v>-0.12248384293488146</v>
      </c>
      <c r="E18" s="24">
        <v>-1.1227066700128605</v>
      </c>
      <c r="F18" s="24">
        <v>-0.38481459507884419</v>
      </c>
      <c r="G18" s="24">
        <v>-0.37712848564620077</v>
      </c>
      <c r="H18" s="24">
        <v>0.26989708849647842</v>
      </c>
      <c r="I18" s="24">
        <v>-0.68447093177229079</v>
      </c>
      <c r="J18" s="24">
        <v>-1.0105366867969243</v>
      </c>
      <c r="K18" s="24">
        <v>0.36035404637776969</v>
      </c>
      <c r="L18" s="24">
        <v>-1.1486889566359035</v>
      </c>
      <c r="M18" s="24">
        <v>-0.29837466586037786</v>
      </c>
    </row>
    <row r="19" spans="1:13" x14ac:dyDescent="0.25">
      <c r="A19" s="24">
        <v>0.66029101359700071</v>
      </c>
      <c r="B19" s="24">
        <v>-0.67223875179863291</v>
      </c>
      <c r="C19" s="24">
        <v>0.52044009343987629</v>
      </c>
      <c r="D19" s="24">
        <v>0.24119567523785648</v>
      </c>
      <c r="E19" s="24">
        <v>-0.71591268916436968</v>
      </c>
      <c r="F19" s="24">
        <v>0.75383995803770421</v>
      </c>
      <c r="G19" s="24">
        <v>0.41308634868008109</v>
      </c>
      <c r="H19" s="24">
        <v>0.8936176772294796</v>
      </c>
      <c r="I19" s="24">
        <v>-1.3438547807335386</v>
      </c>
      <c r="J19" s="24">
        <v>-0.69399289515358809</v>
      </c>
      <c r="K19" s="24">
        <v>-0.75209975187454914</v>
      </c>
      <c r="L19" s="24">
        <v>-0.80507475331698863</v>
      </c>
      <c r="M19" s="24">
        <v>0.20344529194351341</v>
      </c>
    </row>
    <row r="20" spans="1:13" x14ac:dyDescent="0.25">
      <c r="A20" s="24">
        <v>-1.0347290916116365</v>
      </c>
      <c r="B20" s="24">
        <v>-0.1569171011095995</v>
      </c>
      <c r="C20" s="24">
        <v>-1.0243113400764923</v>
      </c>
      <c r="D20" s="24">
        <v>0.69136367904143459</v>
      </c>
      <c r="E20" s="24">
        <v>-0.6880583651647344</v>
      </c>
      <c r="F20" s="24">
        <v>-1.222340713892915</v>
      </c>
      <c r="G20" s="24">
        <v>1.3938657016970253</v>
      </c>
      <c r="H20" s="24">
        <v>-0.65553569296731018</v>
      </c>
      <c r="I20" s="24">
        <v>0.74813876694962222</v>
      </c>
      <c r="J20" s="24">
        <v>-0.2125194069263398</v>
      </c>
      <c r="K20" s="24">
        <v>1.2640671913956663</v>
      </c>
      <c r="L20" s="24">
        <v>-0.65817410215858352</v>
      </c>
      <c r="M20" s="24">
        <v>1.5121120219987831</v>
      </c>
    </row>
    <row r="21" spans="1:13" x14ac:dyDescent="0.25">
      <c r="A21" s="24">
        <v>1.0437609483948087</v>
      </c>
      <c r="B21" s="24">
        <v>-0.43862679031094648</v>
      </c>
      <c r="C21" s="24">
        <v>-0.53452507637211666</v>
      </c>
      <c r="D21" s="24">
        <v>0.64023355761984535</v>
      </c>
      <c r="E21" s="24">
        <v>1.8663006913778315</v>
      </c>
      <c r="F21" s="24">
        <v>0.83276556570796967</v>
      </c>
      <c r="G21" s="24">
        <v>-1.2551750372934993</v>
      </c>
      <c r="H21" s="24">
        <v>-0.62207648793716575</v>
      </c>
      <c r="I21" s="24">
        <v>0.50060648163021126</v>
      </c>
      <c r="J21" s="24">
        <v>0.4258251927723738</v>
      </c>
      <c r="K21" s="24">
        <v>-0.86031429940020865</v>
      </c>
      <c r="L21" s="24">
        <v>1.961462294683658</v>
      </c>
      <c r="M21" s="24">
        <v>-1.1500194144854265</v>
      </c>
    </row>
    <row r="22" spans="1:13" x14ac:dyDescent="0.25">
      <c r="A22" s="24">
        <v>0.2079903527019602</v>
      </c>
      <c r="B22" s="24">
        <v>-0.48778971804256616</v>
      </c>
      <c r="C22" s="24">
        <v>1.1014154097261917</v>
      </c>
      <c r="D22" s="24">
        <v>-0.46234698940459945</v>
      </c>
      <c r="E22" s="24">
        <v>5.1447435049550828E-2</v>
      </c>
      <c r="F22" s="24">
        <v>-0.42762466686087414</v>
      </c>
      <c r="G22" s="24">
        <v>1.458495481762963</v>
      </c>
      <c r="H22" s="24">
        <v>0.65101315103971946</v>
      </c>
      <c r="I22" s="24">
        <v>4.7320183651046815E-2</v>
      </c>
      <c r="J22" s="24">
        <v>-0.8075839497959838</v>
      </c>
      <c r="K22" s="24">
        <v>0.42318557627986919</v>
      </c>
      <c r="L22" s="24">
        <v>-8.4442489963834813E-2</v>
      </c>
      <c r="M22" s="24">
        <v>1.4098299097769007</v>
      </c>
    </row>
    <row r="23" spans="1:13" x14ac:dyDescent="0.25">
      <c r="A23" s="24">
        <v>-0.46130885941255373</v>
      </c>
      <c r="B23" s="24">
        <v>0.1722254160177013</v>
      </c>
      <c r="C23" s="24">
        <v>0.45586503689302837</v>
      </c>
      <c r="D23" s="24">
        <v>-1.0003347372400975</v>
      </c>
      <c r="E23" s="24">
        <v>-0.75711864729351519</v>
      </c>
      <c r="F23" s="24">
        <v>-1.2699843714325689</v>
      </c>
      <c r="G23" s="24">
        <v>0.8625464052561127</v>
      </c>
      <c r="H23" s="24">
        <v>0.39550013649373289</v>
      </c>
      <c r="I23" s="24">
        <v>0.26342579496322838</v>
      </c>
      <c r="J23" s="24">
        <v>-0.94560325595610695</v>
      </c>
      <c r="K23" s="24">
        <v>1.2517068289308804</v>
      </c>
      <c r="L23" s="24">
        <v>-0.86030605658082726</v>
      </c>
      <c r="M23" s="24">
        <v>0.97182558582243561</v>
      </c>
    </row>
    <row r="24" spans="1:13" x14ac:dyDescent="0.25">
      <c r="A24" s="24">
        <v>-0.25809229760130503</v>
      </c>
      <c r="B24" s="24">
        <v>7.434439734050366E-2</v>
      </c>
      <c r="C24" s="24">
        <v>-1.1782348445631337</v>
      </c>
      <c r="D24" s="24">
        <v>0.15848830418314819</v>
      </c>
      <c r="E24" s="24">
        <v>-0.13317581739308734</v>
      </c>
      <c r="F24" s="24">
        <v>-0.73224259896732269</v>
      </c>
      <c r="G24" s="24">
        <v>-0.50725566706653391</v>
      </c>
      <c r="H24" s="24">
        <v>-0.61616602987315894</v>
      </c>
      <c r="I24" s="24">
        <v>0.50810106727543092</v>
      </c>
      <c r="J24" s="24">
        <v>-0.28218853291175539</v>
      </c>
      <c r="K24" s="24">
        <v>0.71767321118858385</v>
      </c>
      <c r="L24" s="24">
        <v>-6.8495719048915785E-2</v>
      </c>
      <c r="M24" s="24">
        <v>-0.28564588905778909</v>
      </c>
    </row>
    <row r="25" spans="1:13" x14ac:dyDescent="0.25">
      <c r="A25" s="24">
        <v>2.7350220922352314E-2</v>
      </c>
      <c r="B25" s="24">
        <v>-0.3810865838722543</v>
      </c>
      <c r="C25" s="24">
        <v>0.64439922498351332</v>
      </c>
      <c r="D25" s="24">
        <v>5.0440167834089389E-2</v>
      </c>
      <c r="E25" s="24">
        <v>1.4730879331341067</v>
      </c>
      <c r="F25" s="24">
        <v>-0.50012052598952661</v>
      </c>
      <c r="G25" s="24">
        <v>1.3601691590615212</v>
      </c>
      <c r="H25" s="24">
        <v>-0.31654899821368121</v>
      </c>
      <c r="I25" s="24">
        <v>1.3313311897521465</v>
      </c>
      <c r="J25" s="24">
        <v>0.12220562366765864</v>
      </c>
      <c r="K25" s="24">
        <v>0.51015734854301842</v>
      </c>
      <c r="L25" s="24">
        <v>1.4394611470281162</v>
      </c>
      <c r="M25" s="24">
        <v>1.428155747377809</v>
      </c>
    </row>
    <row r="26" spans="1:13" x14ac:dyDescent="0.25">
      <c r="A26" s="24">
        <v>-1.5209558509756618</v>
      </c>
      <c r="B26" s="24">
        <v>0.99298359376618084</v>
      </c>
      <c r="C26" s="24">
        <v>-5.8038403807875491E-2</v>
      </c>
      <c r="D26" s="24">
        <v>-0.17439653534614086</v>
      </c>
      <c r="E26" s="24">
        <v>-1.4034663873551181</v>
      </c>
      <c r="F26" s="24">
        <v>-0.51025471117741417</v>
      </c>
      <c r="G26" s="24">
        <v>0.56481621867269161</v>
      </c>
      <c r="H26" s="24">
        <v>-0.14769194899487043</v>
      </c>
      <c r="I26" s="24">
        <v>1.2654028116614542E-2</v>
      </c>
      <c r="J26" s="24">
        <v>0.82425576907414833</v>
      </c>
      <c r="K26" s="24">
        <v>0.5635726331871096</v>
      </c>
      <c r="L26" s="24">
        <v>-1.3725591350794311</v>
      </c>
      <c r="M26" s="24">
        <v>0.46821597369715201</v>
      </c>
    </row>
    <row r="27" spans="1:13" x14ac:dyDescent="0.25">
      <c r="A27" s="24">
        <v>-0.40317899486556985</v>
      </c>
      <c r="B27" s="24">
        <v>0.85018409619077284</v>
      </c>
      <c r="C27" s="24">
        <v>-1.2349569068882711</v>
      </c>
      <c r="D27" s="24">
        <v>0.71369822345813472</v>
      </c>
      <c r="E27" s="24">
        <v>-0.18724568642792458</v>
      </c>
      <c r="F27" s="24">
        <v>1.0142454934537322</v>
      </c>
      <c r="G27" s="24">
        <v>-2.0028193528233391</v>
      </c>
      <c r="H27" s="24">
        <v>-0.78652408761993131</v>
      </c>
      <c r="I27" s="24">
        <v>-0.32881632247206904</v>
      </c>
      <c r="J27" s="24">
        <v>1.5715443377194773</v>
      </c>
      <c r="K27" s="24">
        <v>-0.99078211195531585</v>
      </c>
      <c r="L27" s="24">
        <v>7.2397315313767353E-3</v>
      </c>
      <c r="M27" s="24">
        <v>-2.0511979153556781</v>
      </c>
    </row>
    <row r="28" spans="1:13" x14ac:dyDescent="0.25">
      <c r="A28" s="24">
        <v>-0.49968578552119425</v>
      </c>
      <c r="B28" s="24">
        <v>-0.72799381110765171</v>
      </c>
      <c r="C28" s="24">
        <v>-1.0203719784537917</v>
      </c>
      <c r="D28" s="24">
        <v>2.1720378534565765</v>
      </c>
      <c r="E28" s="24">
        <v>0.24246332733861334</v>
      </c>
      <c r="F28" s="24">
        <v>0.42805723184027911</v>
      </c>
      <c r="G28" s="24">
        <v>1.4965856655377578</v>
      </c>
      <c r="H28" s="24">
        <v>-0.88015630282734891</v>
      </c>
      <c r="I28" s="24">
        <v>0.35332489865930394</v>
      </c>
      <c r="J28" s="24">
        <v>0.90342185073096803</v>
      </c>
      <c r="K28" s="24">
        <v>-0.33802448284585362</v>
      </c>
      <c r="L28" s="24">
        <v>0.34563529919700331</v>
      </c>
      <c r="M28" s="24">
        <v>1.3577625507707554</v>
      </c>
    </row>
    <row r="29" spans="1:13" x14ac:dyDescent="0.25">
      <c r="A29" s="24">
        <v>-0.54754268393090089</v>
      </c>
      <c r="B29" s="24">
        <v>0.5473824561082129</v>
      </c>
      <c r="C29" s="24">
        <v>0.30336204179530779</v>
      </c>
      <c r="D29" s="24">
        <v>-0.46513303147706175</v>
      </c>
      <c r="E29" s="24">
        <v>-0.75872939475822687</v>
      </c>
      <c r="F29" s="24">
        <v>-0.16676048332435756</v>
      </c>
      <c r="G29" s="24">
        <v>4.8823957797211312E-2</v>
      </c>
      <c r="H29" s="24">
        <v>0.21967908980546211</v>
      </c>
      <c r="I29" s="24">
        <v>-0.23155019901027263</v>
      </c>
      <c r="J29" s="24">
        <v>0.21147296664565354</v>
      </c>
      <c r="K29" s="24">
        <v>0.17727036384010425</v>
      </c>
      <c r="L29" s="24">
        <v>-0.77450608479506688</v>
      </c>
      <c r="M29" s="24">
        <v>-1.2014378000186329E-2</v>
      </c>
    </row>
    <row r="30" spans="1:13" x14ac:dyDescent="0.25">
      <c r="A30" s="24">
        <v>-1.5699763962534952</v>
      </c>
      <c r="B30" s="24">
        <v>1.3461350866676822</v>
      </c>
      <c r="C30" s="24">
        <v>0.21095126918854037</v>
      </c>
      <c r="D30" s="24">
        <v>-0.65608267710743362</v>
      </c>
      <c r="E30" s="24">
        <v>1.7177985269175113E-2</v>
      </c>
      <c r="F30" s="24">
        <v>-0.92348757224885925</v>
      </c>
      <c r="G30" s="24">
        <v>0.33465092461463664</v>
      </c>
      <c r="H30" s="24">
        <v>-0.67695885850709614</v>
      </c>
      <c r="I30" s="24">
        <v>1.3264976397636088</v>
      </c>
      <c r="J30" s="24">
        <v>1.3310751032634713</v>
      </c>
      <c r="K30" s="24">
        <v>0.95906630475243781</v>
      </c>
      <c r="L30" s="24">
        <v>8.051999850037142E-2</v>
      </c>
      <c r="M30" s="24">
        <v>0.39992568113988208</v>
      </c>
    </row>
    <row r="31" spans="1:13" x14ac:dyDescent="0.25">
      <c r="A31" s="24">
        <v>0.82763488686968656</v>
      </c>
      <c r="B31" s="24">
        <v>0.11335066309232047</v>
      </c>
      <c r="C31" s="24">
        <v>2.1547007400283804</v>
      </c>
      <c r="D31" s="24">
        <v>-0.63502060763230073</v>
      </c>
      <c r="E31" s="24">
        <v>1.4482731212218021</v>
      </c>
      <c r="F31" s="24">
        <v>1.4246753901855771</v>
      </c>
      <c r="G31" s="24">
        <v>-6.8346860100678711E-2</v>
      </c>
      <c r="H31" s="24">
        <v>0.74803713560307439</v>
      </c>
      <c r="I31" s="24">
        <v>-0.23671642934103618</v>
      </c>
      <c r="J31" s="24">
        <v>0.88583596985660096</v>
      </c>
      <c r="K31" s="24">
        <v>-1.4294526654782997</v>
      </c>
      <c r="L31" s="24">
        <v>1.3778526422496757</v>
      </c>
      <c r="M31" s="24">
        <v>-0.33978533760685847</v>
      </c>
    </row>
    <row r="32" spans="1:13" x14ac:dyDescent="0.25">
      <c r="A32" s="24">
        <v>-1.5331879126881796</v>
      </c>
      <c r="B32" s="24">
        <v>1.1406985393229987</v>
      </c>
      <c r="C32" s="24">
        <v>5.6189307537364674E-2</v>
      </c>
      <c r="D32" s="24">
        <v>-0.32556248110444413</v>
      </c>
      <c r="E32" s="24">
        <v>-2.4879340313332161</v>
      </c>
      <c r="F32" s="24">
        <v>-0.12836899226304754</v>
      </c>
      <c r="G32" s="24">
        <v>0.24297490172624073</v>
      </c>
      <c r="H32" s="24">
        <v>0.38003557194816473</v>
      </c>
      <c r="I32" s="24">
        <v>-1.0278427692466126</v>
      </c>
      <c r="J32" s="24">
        <v>0.64612934120841092</v>
      </c>
      <c r="K32" s="24">
        <v>0.18318224453899629</v>
      </c>
      <c r="L32" s="24">
        <v>-2.4837928329655892</v>
      </c>
      <c r="M32" s="24">
        <v>1.9835073372303946E-2</v>
      </c>
    </row>
    <row r="34" spans="1:16" s="26" customFormat="1" ht="26.25" x14ac:dyDescent="0.4">
      <c r="A34" s="28" t="s">
        <v>55</v>
      </c>
      <c r="O34" s="27"/>
    </row>
    <row r="35" spans="1:16" ht="26.25" x14ac:dyDescent="0.4">
      <c r="A35" s="28" t="s">
        <v>56</v>
      </c>
      <c r="O35" s="2" t="s">
        <v>49</v>
      </c>
      <c r="P35" s="21" t="s">
        <v>59</v>
      </c>
    </row>
    <row r="36" spans="1:16" x14ac:dyDescent="0.25">
      <c r="A36" cm="1">
        <f t="array" ref="A36:M65">'Step 1 - NOC6 - X &amp; X̆'!Q3:AC32-_xlfn.ANCHORARRAY('Step 3 - SPE'!A3)</f>
        <v>0.12746686995948539</v>
      </c>
      <c r="B36">
        <v>-0.84575112413096687</v>
      </c>
      <c r="C36">
        <v>-0.56597358029987632</v>
      </c>
      <c r="D36">
        <v>-1.2184293147074974</v>
      </c>
      <c r="E36">
        <v>-0.16017768393167836</v>
      </c>
      <c r="F36">
        <v>9.5102208333899374E-2</v>
      </c>
      <c r="G36">
        <v>0.14113560273632064</v>
      </c>
      <c r="H36">
        <v>-0.46257070973680603</v>
      </c>
      <c r="I36">
        <v>-0.39964816103884626</v>
      </c>
      <c r="J36">
        <v>0.67085860476542569</v>
      </c>
      <c r="K36">
        <v>-9.3327437190412532E-2</v>
      </c>
      <c r="L36">
        <v>0.1135014040431524</v>
      </c>
      <c r="M36">
        <v>0.26594861079467186</v>
      </c>
      <c r="O36" s="2">
        <f>A36^2+B36^2+C36^2+D36^2+E36^2+F36^2+G36^2+H36^2+I36^2+J36^2+K36^2+L36^2+M36^2</f>
        <v>3.5071222588134212</v>
      </c>
    </row>
    <row r="37" spans="1:16" x14ac:dyDescent="0.25">
      <c r="A37">
        <v>0.36606835341396682</v>
      </c>
      <c r="B37">
        <v>-0.23979448091187755</v>
      </c>
      <c r="C37">
        <v>6.1719047223513956E-2</v>
      </c>
      <c r="D37">
        <v>8.9277938512778654E-2</v>
      </c>
      <c r="E37">
        <v>0.26013001420897286</v>
      </c>
      <c r="F37">
        <v>-0.39329969406074328</v>
      </c>
      <c r="G37">
        <v>-8.3093362947408433E-2</v>
      </c>
      <c r="H37">
        <v>8.0876504290326001E-2</v>
      </c>
      <c r="I37">
        <v>-0.53381819162736532</v>
      </c>
      <c r="J37">
        <v>0.66271528028971827</v>
      </c>
      <c r="K37">
        <v>0.51861221058809637</v>
      </c>
      <c r="L37">
        <v>-0.15086519830322964</v>
      </c>
      <c r="M37">
        <v>-3.2535694979448637E-3</v>
      </c>
      <c r="O37" s="2">
        <f>A37^2+B37^2+C37^2+D37^2+E37^2+F37^2+G37^2+H37^2+I37^2+J37^2+K37^2+L37^2+M37^2</f>
        <v>1.4549679362814603</v>
      </c>
    </row>
    <row r="38" spans="1:16" x14ac:dyDescent="0.25">
      <c r="A38">
        <v>0.78191299019360438</v>
      </c>
      <c r="B38">
        <v>0.80173862157910669</v>
      </c>
      <c r="C38">
        <v>0.6166214031069166</v>
      </c>
      <c r="D38">
        <v>0.73671265034578837</v>
      </c>
      <c r="E38">
        <v>-0.50987145598997774</v>
      </c>
      <c r="F38">
        <v>-5.7713123845641867E-3</v>
      </c>
      <c r="G38">
        <v>-0.16504499492401847</v>
      </c>
      <c r="H38">
        <v>-0.42785631707771932</v>
      </c>
      <c r="I38">
        <v>0.58901589133644805</v>
      </c>
      <c r="J38">
        <v>-0.35785938370541182</v>
      </c>
      <c r="K38">
        <v>-6.6669855735061789E-2</v>
      </c>
      <c r="L38">
        <v>-0.10864922426770862</v>
      </c>
      <c r="M38">
        <v>9.5824627084748037E-2</v>
      </c>
      <c r="O38" s="2">
        <f t="shared" ref="O38:O65" si="0">A38^2+B38^2+C38^2+D38^2+E38^2+F38^2+G38^2+H38^2+I38^2+J38^2+K38^2+L38^2+M38^2</f>
        <v>3.1478782551134143</v>
      </c>
    </row>
    <row r="39" spans="1:16" x14ac:dyDescent="0.25">
      <c r="A39">
        <v>-0.27450134923502301</v>
      </c>
      <c r="B39">
        <v>-0.45958546580507209</v>
      </c>
      <c r="C39">
        <v>0.72319035839856638</v>
      </c>
      <c r="D39">
        <v>0.42063553123470965</v>
      </c>
      <c r="E39">
        <v>-0.14958470164680548</v>
      </c>
      <c r="F39">
        <v>-9.1477847099151521E-2</v>
      </c>
      <c r="G39">
        <v>-0.14109055570208073</v>
      </c>
      <c r="H39">
        <v>-0.37406806588966784</v>
      </c>
      <c r="I39">
        <v>0.1565731473572044</v>
      </c>
      <c r="J39">
        <v>-0.13939245473816331</v>
      </c>
      <c r="K39">
        <v>0.17157500102588896</v>
      </c>
      <c r="L39">
        <v>-8.8397016040953624E-2</v>
      </c>
      <c r="M39">
        <v>-0.39104918783251374</v>
      </c>
      <c r="O39" s="2">
        <f t="shared" si="0"/>
        <v>1.4112024656700037</v>
      </c>
    </row>
    <row r="40" spans="1:16" x14ac:dyDescent="0.25">
      <c r="A40">
        <v>0.46907024026015304</v>
      </c>
      <c r="B40">
        <v>0.70658324347095069</v>
      </c>
      <c r="C40">
        <v>0.35341816199758758</v>
      </c>
      <c r="D40">
        <v>0.62662040104253769</v>
      </c>
      <c r="E40">
        <v>-0.10528437003952756</v>
      </c>
      <c r="F40">
        <v>-0.15987338806452511</v>
      </c>
      <c r="G40">
        <v>-5.4523910343474341E-2</v>
      </c>
      <c r="H40">
        <v>-0.1150058621430271</v>
      </c>
      <c r="I40">
        <v>3.9214814716922675E-2</v>
      </c>
      <c r="J40">
        <v>-0.19450217081382137</v>
      </c>
      <c r="K40">
        <v>0.12061904428066184</v>
      </c>
      <c r="L40">
        <v>-6.1578972595573989E-3</v>
      </c>
      <c r="M40">
        <v>2.0218824237980215E-2</v>
      </c>
      <c r="O40" s="2">
        <f t="shared" si="0"/>
        <v>1.3440523689363422</v>
      </c>
    </row>
    <row r="41" spans="1:16" x14ac:dyDescent="0.25">
      <c r="A41">
        <v>0.11328942716261436</v>
      </c>
      <c r="B41">
        <v>-0.23881283194482483</v>
      </c>
      <c r="C41">
        <v>0.12257425413926493</v>
      </c>
      <c r="D41">
        <v>-8.662532582603677E-2</v>
      </c>
      <c r="E41">
        <v>-0.42189796666622703</v>
      </c>
      <c r="F41">
        <v>0.44218586217730738</v>
      </c>
      <c r="G41">
        <v>-8.9588939251692201E-2</v>
      </c>
      <c r="H41">
        <v>-3.1277105085132262E-2</v>
      </c>
      <c r="I41">
        <v>1.3689832796702963</v>
      </c>
      <c r="J41">
        <v>-0.28437993146242768</v>
      </c>
      <c r="K41">
        <v>-0.56950264518068328</v>
      </c>
      <c r="L41">
        <v>-0.4620325318142523</v>
      </c>
      <c r="M41">
        <v>-3.2442738835231522E-2</v>
      </c>
      <c r="O41" s="2">
        <f t="shared" si="0"/>
        <v>2.9687721442469699</v>
      </c>
    </row>
    <row r="42" spans="1:16" x14ac:dyDescent="0.25">
      <c r="A42">
        <v>0.91362326135324889</v>
      </c>
      <c r="B42">
        <v>0.92911046440045464</v>
      </c>
      <c r="C42">
        <v>0.40635393557619148</v>
      </c>
      <c r="D42">
        <v>0.15001399042664521</v>
      </c>
      <c r="E42">
        <v>-0.31632372941993436</v>
      </c>
      <c r="F42">
        <v>-6.9178606273789023E-2</v>
      </c>
      <c r="G42">
        <v>0.22707273817963203</v>
      </c>
      <c r="H42">
        <v>-1.3298075938828178</v>
      </c>
      <c r="I42">
        <v>-0.51978950943610269</v>
      </c>
      <c r="J42">
        <v>-0.23923942877511806</v>
      </c>
      <c r="K42">
        <v>0.10279504428617492</v>
      </c>
      <c r="L42">
        <v>0.15306007099256175</v>
      </c>
      <c r="M42">
        <v>0.14684252127418368</v>
      </c>
      <c r="O42" s="2">
        <f t="shared" si="0"/>
        <v>4.1933516544757587</v>
      </c>
    </row>
    <row r="43" spans="1:16" x14ac:dyDescent="0.25">
      <c r="A43">
        <v>6.3641809270227334E-3</v>
      </c>
      <c r="B43">
        <v>0.55389578753780044</v>
      </c>
      <c r="C43">
        <v>-0.44152808762781748</v>
      </c>
      <c r="D43">
        <v>0.1097561012938375</v>
      </c>
      <c r="E43">
        <v>0.15130006083615127</v>
      </c>
      <c r="F43">
        <v>0.22401314406104553</v>
      </c>
      <c r="G43">
        <v>0.15551776997756894</v>
      </c>
      <c r="H43">
        <v>0.78227129954069341</v>
      </c>
      <c r="I43">
        <v>0.67678253748346906</v>
      </c>
      <c r="J43">
        <v>-0.31001534902461403</v>
      </c>
      <c r="K43">
        <v>-0.37962904741879577</v>
      </c>
      <c r="L43">
        <v>-0.1907446528277113</v>
      </c>
      <c r="M43">
        <v>1.4178016412342953E-2</v>
      </c>
      <c r="O43" s="2">
        <f t="shared" si="0"/>
        <v>1.9578891322207834</v>
      </c>
    </row>
    <row r="44" spans="1:16" x14ac:dyDescent="0.25">
      <c r="A44">
        <v>0.11090518360341434</v>
      </c>
      <c r="B44">
        <v>-0.37361308910702573</v>
      </c>
      <c r="C44">
        <v>6.3570591646922248E-2</v>
      </c>
      <c r="D44">
        <v>-0.43565567136699579</v>
      </c>
      <c r="E44">
        <v>-0.18122987703125093</v>
      </c>
      <c r="F44">
        <v>0.24651513755418153</v>
      </c>
      <c r="G44">
        <v>1.0841498769426861E-2</v>
      </c>
      <c r="H44">
        <v>-0.59569172238210988</v>
      </c>
      <c r="I44">
        <v>0.39540777453162163</v>
      </c>
      <c r="J44">
        <v>-2.2996332617408966E-2</v>
      </c>
      <c r="K44">
        <v>-0.30239051711691467</v>
      </c>
      <c r="L44">
        <v>-0.29427639423399077</v>
      </c>
      <c r="M44">
        <v>5.3774374356561294E-2</v>
      </c>
      <c r="O44" s="2">
        <f t="shared" si="0"/>
        <v>1.1321103756579545</v>
      </c>
    </row>
    <row r="45" spans="1:16" x14ac:dyDescent="0.25">
      <c r="A45">
        <v>-0.15158691694269955</v>
      </c>
      <c r="B45">
        <v>1.0521085380312929</v>
      </c>
      <c r="C45">
        <v>-0.86624202404658024</v>
      </c>
      <c r="D45">
        <v>-2.8561317507457717E-2</v>
      </c>
      <c r="E45">
        <v>0.10398875034556132</v>
      </c>
      <c r="F45">
        <v>0.1529793780818498</v>
      </c>
      <c r="G45">
        <v>0.29106955137244578</v>
      </c>
      <c r="H45">
        <v>0.98296713136440528</v>
      </c>
      <c r="I45">
        <v>-0.22830186183386747</v>
      </c>
      <c r="J45">
        <v>-0.34540578221820706</v>
      </c>
      <c r="K45">
        <v>-0.17345925192447653</v>
      </c>
      <c r="L45">
        <v>0.62146130983728476</v>
      </c>
      <c r="M45">
        <v>0.24044416692057893</v>
      </c>
      <c r="O45" s="2">
        <f t="shared" si="0"/>
        <v>3.6118067412798665</v>
      </c>
    </row>
    <row r="46" spans="1:16" x14ac:dyDescent="0.25">
      <c r="A46">
        <v>-0.46280142833405724</v>
      </c>
      <c r="B46">
        <v>-0.23107414346480837</v>
      </c>
      <c r="C46">
        <v>0.49939649128097507</v>
      </c>
      <c r="D46">
        <v>-0.20782565449812851</v>
      </c>
      <c r="E46">
        <v>0.10167650512077325</v>
      </c>
      <c r="F46">
        <v>0.39655431420229958</v>
      </c>
      <c r="G46">
        <v>-0.36333680154234271</v>
      </c>
      <c r="H46">
        <v>-1.1970869866613314</v>
      </c>
      <c r="I46">
        <v>2.9491351829800561E-2</v>
      </c>
      <c r="J46">
        <v>-0.61290540366136304</v>
      </c>
      <c r="K46">
        <v>-0.31128172272965937</v>
      </c>
      <c r="L46">
        <v>-0.31517720960306761</v>
      </c>
      <c r="M46">
        <v>0.29773054967907314</v>
      </c>
      <c r="O46" s="2">
        <f t="shared" si="0"/>
        <v>2.9541923390532911</v>
      </c>
    </row>
    <row r="47" spans="1:16" x14ac:dyDescent="0.25">
      <c r="A47">
        <v>0.2724522081368832</v>
      </c>
      <c r="B47">
        <v>0.46252495584166864</v>
      </c>
      <c r="C47">
        <v>0.3117673494482493</v>
      </c>
      <c r="D47">
        <v>0.13959948054955096</v>
      </c>
      <c r="E47">
        <v>0.12715074207920685</v>
      </c>
      <c r="F47">
        <v>-6.3493954021995647E-2</v>
      </c>
      <c r="G47">
        <v>0.11449809585952186</v>
      </c>
      <c r="H47">
        <v>-0.81621955052654926</v>
      </c>
      <c r="I47">
        <v>-0.38684375980192881</v>
      </c>
      <c r="J47">
        <v>-0.25323046071903677</v>
      </c>
      <c r="K47">
        <v>3.6858829395630788E-2</v>
      </c>
      <c r="L47">
        <v>-0.10778984040109266</v>
      </c>
      <c r="M47">
        <v>7.0133025692565854E-3</v>
      </c>
      <c r="O47" s="2">
        <f t="shared" si="0"/>
        <v>1.3311695678172561</v>
      </c>
    </row>
    <row r="48" spans="1:16" x14ac:dyDescent="0.25">
      <c r="A48">
        <v>0.18237967522615217</v>
      </c>
      <c r="B48">
        <v>0.463673521894584</v>
      </c>
      <c r="C48">
        <v>-0.43336704187255148</v>
      </c>
      <c r="D48">
        <v>-0.18304401326382391</v>
      </c>
      <c r="E48">
        <v>0.15741843292004865</v>
      </c>
      <c r="F48">
        <v>-0.16386879422923151</v>
      </c>
      <c r="G48">
        <v>6.8009238130208871E-3</v>
      </c>
      <c r="H48">
        <v>0.13880400842216545</v>
      </c>
      <c r="I48">
        <v>-0.75627645084417994</v>
      </c>
      <c r="J48">
        <v>0.19049395383967149</v>
      </c>
      <c r="K48">
        <v>0.13693508264566034</v>
      </c>
      <c r="L48">
        <v>0.3630618589244361</v>
      </c>
      <c r="M48">
        <v>0.40062257167232723</v>
      </c>
      <c r="O48" s="2">
        <f t="shared" si="0"/>
        <v>1.4598195264278639</v>
      </c>
    </row>
    <row r="49" spans="1:15" x14ac:dyDescent="0.25">
      <c r="A49">
        <v>0.35508447236937379</v>
      </c>
      <c r="B49">
        <v>0.19049995390911911</v>
      </c>
      <c r="C49">
        <v>0.95752339521687957</v>
      </c>
      <c r="D49">
        <v>0.61516141870333541</v>
      </c>
      <c r="E49">
        <v>-0.30503869955628798</v>
      </c>
      <c r="F49">
        <v>8.6141517084881158E-4</v>
      </c>
      <c r="G49">
        <v>-4.3540449832593087E-2</v>
      </c>
      <c r="H49">
        <v>-0.98687295164546962</v>
      </c>
      <c r="I49">
        <v>0.24848013465211183</v>
      </c>
      <c r="J49">
        <v>-0.36303184169753244</v>
      </c>
      <c r="K49">
        <v>0.15191207672396057</v>
      </c>
      <c r="L49">
        <v>-0.22884844140726909</v>
      </c>
      <c r="M49">
        <v>-0.29624773989439634</v>
      </c>
      <c r="O49" s="2">
        <f t="shared" si="0"/>
        <v>2.8832592891148221</v>
      </c>
    </row>
    <row r="50" spans="1:15" x14ac:dyDescent="0.25">
      <c r="A50">
        <v>-0.75547999218794915</v>
      </c>
      <c r="B50">
        <v>-0.44348247880725</v>
      </c>
      <c r="C50">
        <v>-7.4839560972301045E-2</v>
      </c>
      <c r="D50">
        <v>0.11619579626538484</v>
      </c>
      <c r="E50">
        <v>2.7872179273433495E-2</v>
      </c>
      <c r="F50">
        <v>0.31306418500591338</v>
      </c>
      <c r="G50">
        <v>-0.11497503868691503</v>
      </c>
      <c r="H50">
        <v>0.82566166494750559</v>
      </c>
      <c r="I50">
        <v>0.77536064548115691</v>
      </c>
      <c r="J50">
        <v>-0.26965545947028313</v>
      </c>
      <c r="K50">
        <v>-0.1830067979521699</v>
      </c>
      <c r="L50">
        <v>-8.9728561464903711E-2</v>
      </c>
      <c r="M50">
        <v>-0.24472322917340228</v>
      </c>
      <c r="O50" s="2">
        <f t="shared" si="0"/>
        <v>2.3555819964768232</v>
      </c>
    </row>
    <row r="51" spans="1:15" x14ac:dyDescent="0.25">
      <c r="A51">
        <v>-0.31476342515952338</v>
      </c>
      <c r="B51">
        <v>0.57721043861638277</v>
      </c>
      <c r="C51">
        <v>0.49997055371177446</v>
      </c>
      <c r="D51">
        <v>1.9642120672574048</v>
      </c>
      <c r="E51">
        <v>0.45145316673716152</v>
      </c>
      <c r="F51">
        <v>-0.73762351563145478</v>
      </c>
      <c r="G51">
        <v>-0.53110119418098201</v>
      </c>
      <c r="H51">
        <v>2.1121006116447831</v>
      </c>
      <c r="I51">
        <v>0.20820827833265898</v>
      </c>
      <c r="J51">
        <v>2.0561541595727095E-2</v>
      </c>
      <c r="K51">
        <v>0.70046468841361653</v>
      </c>
      <c r="L51">
        <v>3.825923796631403E-2</v>
      </c>
      <c r="M51">
        <v>-0.36954421979000895</v>
      </c>
      <c r="O51" s="2">
        <f t="shared" si="0"/>
        <v>10.703734332287985</v>
      </c>
    </row>
    <row r="52" spans="1:15" x14ac:dyDescent="0.25">
      <c r="A52">
        <v>0.10150329427995775</v>
      </c>
      <c r="B52">
        <v>-0.2286683118530739</v>
      </c>
      <c r="C52">
        <v>-0.2040127422497035</v>
      </c>
      <c r="D52">
        <v>-0.34529996696757148</v>
      </c>
      <c r="E52">
        <v>-7.0878239900887041E-2</v>
      </c>
      <c r="F52">
        <v>-0.18704048948193108</v>
      </c>
      <c r="G52">
        <v>0.15484404424334142</v>
      </c>
      <c r="H52">
        <v>-9.9618443849059046E-2</v>
      </c>
      <c r="I52">
        <v>-0.43130601845068783</v>
      </c>
      <c r="J52">
        <v>0.35354895381772355</v>
      </c>
      <c r="K52">
        <v>8.3553524247467315E-2</v>
      </c>
      <c r="L52">
        <v>0.23007236230779249</v>
      </c>
      <c r="M52">
        <v>-1.0585140192363868E-2</v>
      </c>
      <c r="O52" s="2">
        <f t="shared" si="0"/>
        <v>0.66840203657544239</v>
      </c>
    </row>
    <row r="53" spans="1:15" x14ac:dyDescent="0.25">
      <c r="A53">
        <v>-0.11520376096312268</v>
      </c>
      <c r="B53">
        <v>0.88361561654141285</v>
      </c>
      <c r="C53">
        <v>-0.25289058349269644</v>
      </c>
      <c r="D53">
        <v>0.76863004126389334</v>
      </c>
      <c r="E53">
        <v>-0.14418991175214813</v>
      </c>
      <c r="F53">
        <v>0.15919449343901571</v>
      </c>
      <c r="G53">
        <v>-0.12509784304107607</v>
      </c>
      <c r="H53">
        <v>1.4495349263477308</v>
      </c>
      <c r="I53">
        <v>0.94042882251840365</v>
      </c>
      <c r="J53">
        <v>-0.50868420564114625</v>
      </c>
      <c r="K53">
        <v>-0.25515299845040507</v>
      </c>
      <c r="L53">
        <v>0.17628950726427078</v>
      </c>
      <c r="M53">
        <v>5.0169325618464988E-2</v>
      </c>
      <c r="O53" s="2">
        <f t="shared" si="0"/>
        <v>4.853592837831207</v>
      </c>
    </row>
    <row r="54" spans="1:15" x14ac:dyDescent="0.25">
      <c r="A54">
        <v>-6.4724917739234389E-2</v>
      </c>
      <c r="B54">
        <v>0.71736046746288218</v>
      </c>
      <c r="C54">
        <v>-4.5464039489864994E-2</v>
      </c>
      <c r="D54">
        <v>0.14919114456679272</v>
      </c>
      <c r="E54">
        <v>5.9196801370510865E-2</v>
      </c>
      <c r="F54">
        <v>9.3854295678377553E-2</v>
      </c>
      <c r="G54">
        <v>0.2284462690574327</v>
      </c>
      <c r="H54">
        <v>-0.17192274544325481</v>
      </c>
      <c r="I54">
        <v>-0.11093703790678</v>
      </c>
      <c r="J54">
        <v>-0.54229285691369111</v>
      </c>
      <c r="K54">
        <v>-0.2116717762126259</v>
      </c>
      <c r="L54">
        <v>0.16977126389506081</v>
      </c>
      <c r="M54">
        <v>-2.1650839644280495E-2</v>
      </c>
      <c r="O54" s="2">
        <f t="shared" si="0"/>
        <v>1.0176629009015723</v>
      </c>
    </row>
    <row r="55" spans="1:15" x14ac:dyDescent="0.25">
      <c r="A55">
        <v>-0.11240399467938976</v>
      </c>
      <c r="B55">
        <v>-0.84615002261300476</v>
      </c>
      <c r="C55">
        <v>-0.2563321933514261</v>
      </c>
      <c r="D55">
        <v>-0.67210264502642225</v>
      </c>
      <c r="E55">
        <v>-0.46510930049938842</v>
      </c>
      <c r="F55">
        <v>0.59275064358154417</v>
      </c>
      <c r="G55">
        <v>-0.12427098379545054</v>
      </c>
      <c r="H55">
        <v>0.14298608234070109</v>
      </c>
      <c r="I55">
        <v>1.2082813572354476</v>
      </c>
      <c r="J55">
        <v>8.6380337228497805E-2</v>
      </c>
      <c r="K55">
        <v>-0.48303308589335908</v>
      </c>
      <c r="L55">
        <v>-0.30432430881559452</v>
      </c>
      <c r="M55">
        <v>9.8652748002754809E-2</v>
      </c>
      <c r="O55" s="2">
        <f t="shared" si="0"/>
        <v>3.6526729742164252</v>
      </c>
    </row>
    <row r="56" spans="1:15" x14ac:dyDescent="0.25">
      <c r="A56">
        <v>-0.58724452253221882</v>
      </c>
      <c r="B56">
        <v>-1.2224540924293319</v>
      </c>
      <c r="C56">
        <v>0.61140687644337999</v>
      </c>
      <c r="D56">
        <v>-0.39761305040634465</v>
      </c>
      <c r="E56">
        <v>7.07126947339769E-2</v>
      </c>
      <c r="F56">
        <v>-0.11984853847331056</v>
      </c>
      <c r="G56">
        <v>-0.15693135722903984</v>
      </c>
      <c r="H56">
        <v>-1.1894993698741534</v>
      </c>
      <c r="I56">
        <v>-0.73968844840286019</v>
      </c>
      <c r="J56">
        <v>0.20200201566967557</v>
      </c>
      <c r="K56">
        <v>0.28097137718887177</v>
      </c>
      <c r="L56">
        <v>-1.7329171801595211E-2</v>
      </c>
      <c r="M56">
        <v>-0.21652458576913092</v>
      </c>
      <c r="O56" s="2">
        <f t="shared" si="0"/>
        <v>4.5441367292129673</v>
      </c>
    </row>
    <row r="57" spans="1:15" x14ac:dyDescent="0.25">
      <c r="A57">
        <v>4.9540243733813133E-2</v>
      </c>
      <c r="B57">
        <v>-0.93045497716422276</v>
      </c>
      <c r="C57">
        <v>3.8943146694253361E-2</v>
      </c>
      <c r="D57">
        <v>-0.45514893864725675</v>
      </c>
      <c r="E57">
        <v>-0.36382451911802827</v>
      </c>
      <c r="F57">
        <v>-1.7586671994324177E-2</v>
      </c>
      <c r="G57">
        <v>9.8228270567890519E-3</v>
      </c>
      <c r="H57">
        <v>-0.17783320350726162</v>
      </c>
      <c r="I57">
        <v>0.31453442502953188</v>
      </c>
      <c r="J57">
        <v>0.45689002912373133</v>
      </c>
      <c r="K57">
        <v>-6.7372216452876055E-2</v>
      </c>
      <c r="L57">
        <v>-7.5836864929099732E-2</v>
      </c>
      <c r="M57">
        <v>-0.16218744725698464</v>
      </c>
      <c r="O57" s="2">
        <f t="shared" si="0"/>
        <v>1.5855519501705246</v>
      </c>
    </row>
    <row r="58" spans="1:15" x14ac:dyDescent="0.25">
      <c r="A58">
        <v>0.11168448165594133</v>
      </c>
      <c r="B58">
        <v>-0.25104157681152589</v>
      </c>
      <c r="C58">
        <v>0.147052236952251</v>
      </c>
      <c r="D58">
        <v>-9.5426284162964822E-2</v>
      </c>
      <c r="E58">
        <v>0.31224940373837162</v>
      </c>
      <c r="F58">
        <v>-0.4729252729962754</v>
      </c>
      <c r="G58">
        <v>7.4497423366849391E-2</v>
      </c>
      <c r="H58">
        <v>-0.47745023516673935</v>
      </c>
      <c r="I58">
        <v>-0.94166174602871522</v>
      </c>
      <c r="J58">
        <v>0.43325554377530218</v>
      </c>
      <c r="K58">
        <v>0.35012111093380971</v>
      </c>
      <c r="L58">
        <v>5.0286652035957946E-3</v>
      </c>
      <c r="M58">
        <v>-8.5959949096191313E-2</v>
      </c>
      <c r="O58" s="2">
        <f t="shared" si="0"/>
        <v>1.8653288327449862</v>
      </c>
    </row>
    <row r="59" spans="1:15" x14ac:dyDescent="0.25">
      <c r="A59">
        <v>0.28412630928945637</v>
      </c>
      <c r="B59">
        <v>0.40566217908539604</v>
      </c>
      <c r="C59">
        <v>-6.9911638925237288E-2</v>
      </c>
      <c r="D59">
        <v>-0.13746591564955457</v>
      </c>
      <c r="E59">
        <v>0.37613032590838658</v>
      </c>
      <c r="F59">
        <v>-0.3854791132583687</v>
      </c>
      <c r="G59">
        <v>0.36425425321113403</v>
      </c>
      <c r="H59">
        <v>-0.64630728438555018</v>
      </c>
      <c r="I59">
        <v>-1.3548487787193095</v>
      </c>
      <c r="J59">
        <v>0.22395320819707099</v>
      </c>
      <c r="K59">
        <v>0.41231139676516737</v>
      </c>
      <c r="L59">
        <v>0.25630955415271806</v>
      </c>
      <c r="M59">
        <v>-3.5707112669438712E-2</v>
      </c>
      <c r="O59" s="2">
        <f t="shared" si="0"/>
        <v>3.2322770400585372</v>
      </c>
    </row>
    <row r="60" spans="1:15" x14ac:dyDescent="0.25">
      <c r="A60">
        <v>0.19462694099807795</v>
      </c>
      <c r="B60">
        <v>-4.8824774378997571E-2</v>
      </c>
      <c r="C60">
        <v>6.5018492197112199E-2</v>
      </c>
      <c r="D60">
        <v>1.6608303327567797E-2</v>
      </c>
      <c r="E60">
        <v>-0.24914485294772584</v>
      </c>
      <c r="F60">
        <v>0.10478236474510583</v>
      </c>
      <c r="G60">
        <v>-0.10507252680040757</v>
      </c>
      <c r="H60">
        <v>-7.4751457604892435E-3</v>
      </c>
      <c r="I60">
        <v>0.28551971761396877</v>
      </c>
      <c r="J60">
        <v>5.9002960258328629E-2</v>
      </c>
      <c r="K60">
        <v>1.0808633251508049E-2</v>
      </c>
      <c r="L60">
        <v>-1.1895621337108499E-2</v>
      </c>
      <c r="M60">
        <v>8.2328893632494182E-2</v>
      </c>
      <c r="O60" s="2">
        <f t="shared" si="0"/>
        <v>0.22095459777883741</v>
      </c>
    </row>
    <row r="61" spans="1:15" x14ac:dyDescent="0.25">
      <c r="A61">
        <v>7.3892008875086401E-2</v>
      </c>
      <c r="B61">
        <v>-9.8252446164040164E-2</v>
      </c>
      <c r="C61">
        <v>-0.21852154908753496</v>
      </c>
      <c r="D61">
        <v>-0.24416600212134365</v>
      </c>
      <c r="E61">
        <v>-5.9497502235889593E-2</v>
      </c>
      <c r="F61">
        <v>3.0621730953810433E-2</v>
      </c>
      <c r="G61">
        <v>8.47940739682842E-2</v>
      </c>
      <c r="H61">
        <v>8.6157069446928358E-2</v>
      </c>
      <c r="I61">
        <v>3.634454506412732E-2</v>
      </c>
      <c r="J61">
        <v>0.14478712654025128</v>
      </c>
      <c r="K61">
        <v>-6.6280440837338028E-2</v>
      </c>
      <c r="L61">
        <v>3.3819719971045215E-2</v>
      </c>
      <c r="M61">
        <v>3.3341147363230572E-2</v>
      </c>
      <c r="O61" s="2">
        <f t="shared" si="0"/>
        <v>0.17050573530679783</v>
      </c>
    </row>
    <row r="62" spans="1:15" x14ac:dyDescent="0.25">
      <c r="A62">
        <v>-0.35618288282816213</v>
      </c>
      <c r="B62">
        <v>-1.1197819716879918</v>
      </c>
      <c r="C62">
        <v>-0.18613834995005518</v>
      </c>
      <c r="D62">
        <v>-0.35514572796639154</v>
      </c>
      <c r="E62">
        <v>5.9065049075288756E-2</v>
      </c>
      <c r="F62">
        <v>-5.4673412705134206E-2</v>
      </c>
      <c r="G62">
        <v>-9.1446010866202521E-2</v>
      </c>
      <c r="H62">
        <v>0.57432014357495842</v>
      </c>
      <c r="I62">
        <v>0.18825359415217235</v>
      </c>
      <c r="J62">
        <v>0.61275973343101853</v>
      </c>
      <c r="K62">
        <v>0.1568847851055965</v>
      </c>
      <c r="L62">
        <v>-0.13804831713042653</v>
      </c>
      <c r="M62">
        <v>-0.20595182900849029</v>
      </c>
      <c r="O62" s="2">
        <f t="shared" si="0"/>
        <v>2.3832379820083065</v>
      </c>
    </row>
    <row r="63" spans="1:15" x14ac:dyDescent="0.25">
      <c r="A63">
        <v>-0.62271672565862057</v>
      </c>
      <c r="B63">
        <v>-0.20133605550801836</v>
      </c>
      <c r="C63">
        <v>-0.20099108622131751</v>
      </c>
      <c r="D63">
        <v>-0.38546696740788711</v>
      </c>
      <c r="E63">
        <v>0.32110044499330587</v>
      </c>
      <c r="F63">
        <v>0.30212406350944476</v>
      </c>
      <c r="G63">
        <v>-0.17526024601515472</v>
      </c>
      <c r="H63">
        <v>-0.11704037487332442</v>
      </c>
      <c r="I63">
        <v>-7.0896098877114344E-2</v>
      </c>
      <c r="J63">
        <v>-0.30526375371183412</v>
      </c>
      <c r="K63">
        <v>-0.27573514702374591</v>
      </c>
      <c r="L63">
        <v>-0.10263547507763865</v>
      </c>
      <c r="M63">
        <v>0.27223188916441238</v>
      </c>
      <c r="O63" s="2">
        <f t="shared" si="0"/>
        <v>1.1149799057685956</v>
      </c>
    </row>
    <row r="64" spans="1:15" x14ac:dyDescent="0.25">
      <c r="A64">
        <v>-0.22515117569708076</v>
      </c>
      <c r="B64">
        <v>1.1292400236777439E-3</v>
      </c>
      <c r="C64">
        <v>-0.72732990402999365</v>
      </c>
      <c r="D64">
        <v>0.10188727156464183</v>
      </c>
      <c r="E64">
        <v>0.34464044029264973</v>
      </c>
      <c r="F64">
        <v>-0.31087916936231363</v>
      </c>
      <c r="G64">
        <v>0.13632395621330723</v>
      </c>
      <c r="H64">
        <v>1.6339605645381872</v>
      </c>
      <c r="I64">
        <v>-0.23954622409859563</v>
      </c>
      <c r="J64">
        <v>0.52073505092602113</v>
      </c>
      <c r="K64">
        <v>0.29848415594941424</v>
      </c>
      <c r="L64">
        <v>0.29943166026912071</v>
      </c>
      <c r="M64">
        <v>-0.13250194863409059</v>
      </c>
      <c r="O64" s="2">
        <f t="shared" si="0"/>
        <v>4.0187746346950952</v>
      </c>
    </row>
    <row r="65" spans="1:15" x14ac:dyDescent="0.25">
      <c r="A65">
        <v>-0.4712290494825031</v>
      </c>
      <c r="B65">
        <v>3.3964814388639297E-2</v>
      </c>
      <c r="C65">
        <v>-0.93498391241671297</v>
      </c>
      <c r="D65">
        <v>-0.75652534082863343</v>
      </c>
      <c r="E65">
        <v>0.57796779910076879</v>
      </c>
      <c r="F65">
        <v>7.8416543543781914E-2</v>
      </c>
      <c r="G65">
        <v>0.36445518733348725</v>
      </c>
      <c r="H65">
        <v>0.41396366143225583</v>
      </c>
      <c r="I65">
        <v>-0.74731802993761387</v>
      </c>
      <c r="J65">
        <v>0.11091047570951507</v>
      </c>
      <c r="K65">
        <v>-9.4394020684044774E-2</v>
      </c>
      <c r="L65">
        <v>0.23267011188907105</v>
      </c>
      <c r="M65">
        <v>0.1290079685117195</v>
      </c>
      <c r="O65" s="2">
        <f t="shared" si="0"/>
        <v>2.9645994006848491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CDDEA-D95F-4BFE-918F-B9FC5CAFC8A9}">
  <sheetPr>
    <tabColor theme="0" tint="-0.499984740745262"/>
  </sheetPr>
  <dimension ref="A1:K33"/>
  <sheetViews>
    <sheetView topLeftCell="A13" zoomScale="80" zoomScaleNormal="80" workbookViewId="0">
      <selection activeCell="I4" sqref="I4"/>
    </sheetView>
  </sheetViews>
  <sheetFormatPr defaultRowHeight="15" x14ac:dyDescent="0.25"/>
  <cols>
    <col min="2" max="2" width="14" customWidth="1"/>
    <col min="3" max="3" width="12" customWidth="1"/>
    <col min="4" max="4" width="7.42578125" customWidth="1"/>
    <col min="5" max="5" width="14.85546875" bestFit="1" customWidth="1"/>
    <col min="10" max="10" width="12.42578125" customWidth="1"/>
    <col min="11" max="11" width="12.140625" customWidth="1"/>
  </cols>
  <sheetData>
    <row r="1" spans="1:11" x14ac:dyDescent="0.25">
      <c r="A1" s="9" t="s">
        <v>35</v>
      </c>
    </row>
    <row r="3" spans="1:11" x14ac:dyDescent="0.25">
      <c r="E3" s="10" t="s">
        <v>36</v>
      </c>
      <c r="F3" s="8">
        <v>5</v>
      </c>
      <c r="H3" s="11" t="s">
        <v>0</v>
      </c>
      <c r="I3" s="11" t="s">
        <v>37</v>
      </c>
      <c r="J3" s="11" t="s">
        <v>38</v>
      </c>
      <c r="K3" s="11" t="s">
        <v>39</v>
      </c>
    </row>
    <row r="4" spans="1:11" x14ac:dyDescent="0.25">
      <c r="E4" s="10" t="s">
        <v>40</v>
      </c>
      <c r="F4" s="8">
        <v>30</v>
      </c>
      <c r="H4" s="10">
        <v>1</v>
      </c>
      <c r="I4" s="12">
        <v>0.99555931979331203</v>
      </c>
      <c r="J4" s="10">
        <f>$F$9</f>
        <v>22.919999999999998</v>
      </c>
      <c r="K4" s="10">
        <f>$F$10</f>
        <v>15.54</v>
      </c>
    </row>
    <row r="5" spans="1:11" x14ac:dyDescent="0.25">
      <c r="E5" s="10" t="s">
        <v>41</v>
      </c>
      <c r="F5" s="8" t="s">
        <v>42</v>
      </c>
      <c r="H5" s="10">
        <v>2</v>
      </c>
      <c r="I5" s="12">
        <v>4.5543097256426472</v>
      </c>
      <c r="J5" s="10">
        <f t="shared" ref="J5:J33" si="0">$F$9</f>
        <v>22.919999999999998</v>
      </c>
      <c r="K5" s="10">
        <f t="shared" ref="K5:K33" si="1">$F$10</f>
        <v>15.54</v>
      </c>
    </row>
    <row r="6" spans="1:11" x14ac:dyDescent="0.25">
      <c r="H6" s="10">
        <v>3</v>
      </c>
      <c r="I6" s="12">
        <v>7.4583683050053962</v>
      </c>
      <c r="J6" s="10">
        <f t="shared" si="0"/>
        <v>22.919999999999998</v>
      </c>
      <c r="K6" s="10">
        <f t="shared" si="1"/>
        <v>15.54</v>
      </c>
    </row>
    <row r="7" spans="1:11" x14ac:dyDescent="0.25">
      <c r="H7" s="10">
        <v>4</v>
      </c>
      <c r="I7" s="12">
        <v>7.9314695727041222</v>
      </c>
      <c r="J7" s="10">
        <f t="shared" si="0"/>
        <v>22.919999999999998</v>
      </c>
      <c r="K7" s="10">
        <f t="shared" si="1"/>
        <v>15.54</v>
      </c>
    </row>
    <row r="8" spans="1:11" x14ac:dyDescent="0.25">
      <c r="B8" s="13" t="s">
        <v>43</v>
      </c>
      <c r="C8" s="13"/>
      <c r="E8" s="14" t="s">
        <v>44</v>
      </c>
      <c r="H8" s="10">
        <v>5</v>
      </c>
      <c r="I8" s="12">
        <v>5.891515445243277</v>
      </c>
      <c r="J8" s="10">
        <f t="shared" si="0"/>
        <v>22.919999999999998</v>
      </c>
      <c r="K8" s="10">
        <f t="shared" si="1"/>
        <v>15.54</v>
      </c>
    </row>
    <row r="9" spans="1:11" x14ac:dyDescent="0.25">
      <c r="B9" s="15" t="s">
        <v>45</v>
      </c>
      <c r="C9" s="7">
        <v>2.59</v>
      </c>
      <c r="E9" s="10" t="s">
        <v>46</v>
      </c>
      <c r="F9" s="7">
        <f>(((5*30)/(30-5))*C10)</f>
        <v>22.919999999999998</v>
      </c>
      <c r="H9" s="10">
        <v>6</v>
      </c>
      <c r="I9" s="12">
        <v>6.3853817122825696</v>
      </c>
      <c r="J9" s="10">
        <f t="shared" si="0"/>
        <v>22.919999999999998</v>
      </c>
      <c r="K9" s="10">
        <f t="shared" si="1"/>
        <v>15.54</v>
      </c>
    </row>
    <row r="10" spans="1:11" x14ac:dyDescent="0.25">
      <c r="B10" s="15" t="s">
        <v>47</v>
      </c>
      <c r="C10" s="7">
        <v>3.82</v>
      </c>
      <c r="E10" s="10" t="s">
        <v>39</v>
      </c>
      <c r="F10" s="7">
        <f>(((5*30)/(30-5))*C9)</f>
        <v>15.54</v>
      </c>
      <c r="H10" s="10">
        <v>7</v>
      </c>
      <c r="I10" s="12">
        <v>3.3589200156335064</v>
      </c>
      <c r="J10" s="10">
        <f t="shared" si="0"/>
        <v>22.919999999999998</v>
      </c>
      <c r="K10" s="10">
        <f t="shared" si="1"/>
        <v>15.54</v>
      </c>
    </row>
    <row r="11" spans="1:11" x14ac:dyDescent="0.25">
      <c r="H11" s="10">
        <v>8</v>
      </c>
      <c r="I11" s="12">
        <v>2.6814573895144798</v>
      </c>
      <c r="J11" s="10">
        <f t="shared" si="0"/>
        <v>22.919999999999998</v>
      </c>
      <c r="K11" s="10">
        <f t="shared" si="1"/>
        <v>15.54</v>
      </c>
    </row>
    <row r="12" spans="1:11" x14ac:dyDescent="0.25">
      <c r="H12" s="10">
        <v>9</v>
      </c>
      <c r="I12" s="12">
        <v>5.0869598403885687</v>
      </c>
      <c r="J12" s="10">
        <f t="shared" si="0"/>
        <v>22.919999999999998</v>
      </c>
      <c r="K12" s="10">
        <f t="shared" si="1"/>
        <v>15.54</v>
      </c>
    </row>
    <row r="13" spans="1:11" x14ac:dyDescent="0.25">
      <c r="H13" s="10">
        <v>10</v>
      </c>
      <c r="I13" s="12">
        <v>5.3206760023134363</v>
      </c>
      <c r="J13" s="10">
        <f t="shared" si="0"/>
        <v>22.919999999999998</v>
      </c>
      <c r="K13" s="10">
        <f t="shared" si="1"/>
        <v>15.54</v>
      </c>
    </row>
    <row r="14" spans="1:11" x14ac:dyDescent="0.25">
      <c r="H14" s="10">
        <v>11</v>
      </c>
      <c r="I14" s="12">
        <v>3.0582490409744834</v>
      </c>
      <c r="J14" s="10">
        <f t="shared" si="0"/>
        <v>22.919999999999998</v>
      </c>
      <c r="K14" s="10">
        <f t="shared" si="1"/>
        <v>15.54</v>
      </c>
    </row>
    <row r="15" spans="1:11" x14ac:dyDescent="0.25">
      <c r="H15" s="10">
        <v>12</v>
      </c>
      <c r="I15" s="12">
        <v>5.951690385252502</v>
      </c>
      <c r="J15" s="10">
        <f t="shared" si="0"/>
        <v>22.919999999999998</v>
      </c>
      <c r="K15" s="10">
        <f t="shared" si="1"/>
        <v>15.54</v>
      </c>
    </row>
    <row r="16" spans="1:11" x14ac:dyDescent="0.25">
      <c r="H16" s="10">
        <v>13</v>
      </c>
      <c r="I16" s="12">
        <v>5.1234342210852617</v>
      </c>
      <c r="J16" s="10">
        <f t="shared" si="0"/>
        <v>22.919999999999998</v>
      </c>
      <c r="K16" s="10">
        <f t="shared" si="1"/>
        <v>15.54</v>
      </c>
    </row>
    <row r="17" spans="8:11" x14ac:dyDescent="0.25">
      <c r="H17" s="10">
        <v>14</v>
      </c>
      <c r="I17" s="12">
        <v>3.9186798175373343</v>
      </c>
      <c r="J17" s="10">
        <f t="shared" si="0"/>
        <v>22.919999999999998</v>
      </c>
      <c r="K17" s="10">
        <f t="shared" si="1"/>
        <v>15.54</v>
      </c>
    </row>
    <row r="18" spans="8:11" x14ac:dyDescent="0.25">
      <c r="H18" s="10">
        <v>15</v>
      </c>
      <c r="I18" s="12">
        <v>0.82620490452511064</v>
      </c>
      <c r="J18" s="10">
        <f t="shared" si="0"/>
        <v>22.919999999999998</v>
      </c>
      <c r="K18" s="10">
        <f t="shared" si="1"/>
        <v>15.54</v>
      </c>
    </row>
    <row r="19" spans="8:11" x14ac:dyDescent="0.25">
      <c r="H19" s="10">
        <v>16</v>
      </c>
      <c r="I19" s="12">
        <v>3.4940942181126862</v>
      </c>
      <c r="J19" s="10">
        <f t="shared" si="0"/>
        <v>22.919999999999998</v>
      </c>
      <c r="K19" s="10">
        <f t="shared" si="1"/>
        <v>15.54</v>
      </c>
    </row>
    <row r="20" spans="8:11" x14ac:dyDescent="0.25">
      <c r="H20" s="10">
        <v>17</v>
      </c>
      <c r="I20" s="12">
        <v>4.15057519956504</v>
      </c>
      <c r="J20" s="10">
        <f t="shared" si="0"/>
        <v>22.919999999999998</v>
      </c>
      <c r="K20" s="10">
        <f t="shared" si="1"/>
        <v>15.54</v>
      </c>
    </row>
    <row r="21" spans="8:11" x14ac:dyDescent="0.25">
      <c r="H21" s="10">
        <v>18</v>
      </c>
      <c r="I21" s="12">
        <v>4.5114351825813372</v>
      </c>
      <c r="J21" s="10">
        <f t="shared" si="0"/>
        <v>22.919999999999998</v>
      </c>
      <c r="K21" s="10">
        <f t="shared" si="1"/>
        <v>15.54</v>
      </c>
    </row>
    <row r="22" spans="8:11" x14ac:dyDescent="0.25">
      <c r="H22" s="10">
        <v>19</v>
      </c>
      <c r="I22" s="12">
        <v>4.9102017469186068</v>
      </c>
      <c r="J22" s="10">
        <f t="shared" si="0"/>
        <v>22.919999999999998</v>
      </c>
      <c r="K22" s="10">
        <f t="shared" si="1"/>
        <v>15.54</v>
      </c>
    </row>
    <row r="23" spans="8:11" x14ac:dyDescent="0.25">
      <c r="H23" s="10">
        <v>20</v>
      </c>
      <c r="I23" s="12">
        <v>3.8952782606378236</v>
      </c>
      <c r="J23" s="10">
        <f t="shared" si="0"/>
        <v>22.919999999999998</v>
      </c>
      <c r="K23" s="10">
        <f t="shared" si="1"/>
        <v>15.54</v>
      </c>
    </row>
    <row r="24" spans="8:11" x14ac:dyDescent="0.25">
      <c r="H24" s="10">
        <v>21</v>
      </c>
      <c r="I24" s="12">
        <v>3.0386044550692501</v>
      </c>
      <c r="J24" s="10">
        <f t="shared" si="0"/>
        <v>22.919999999999998</v>
      </c>
      <c r="K24" s="10">
        <f t="shared" si="1"/>
        <v>15.54</v>
      </c>
    </row>
    <row r="25" spans="8:11" x14ac:dyDescent="0.25">
      <c r="H25" s="10">
        <v>22</v>
      </c>
      <c r="I25" s="12">
        <v>2.3512117274090918</v>
      </c>
      <c r="J25" s="10">
        <f t="shared" si="0"/>
        <v>22.919999999999998</v>
      </c>
      <c r="K25" s="10">
        <f t="shared" si="1"/>
        <v>15.54</v>
      </c>
    </row>
    <row r="26" spans="8:11" x14ac:dyDescent="0.25">
      <c r="H26" s="10">
        <v>23</v>
      </c>
      <c r="I26" s="12">
        <v>6.4543923719239862</v>
      </c>
      <c r="J26" s="10">
        <f t="shared" si="0"/>
        <v>22.919999999999998</v>
      </c>
      <c r="K26" s="10">
        <f t="shared" si="1"/>
        <v>15.54</v>
      </c>
    </row>
    <row r="27" spans="8:11" x14ac:dyDescent="0.25">
      <c r="H27" s="10">
        <v>24</v>
      </c>
      <c r="I27" s="12">
        <v>3.217352435865084</v>
      </c>
      <c r="J27" s="10">
        <f t="shared" si="0"/>
        <v>22.919999999999998</v>
      </c>
      <c r="K27" s="10">
        <f t="shared" si="1"/>
        <v>15.54</v>
      </c>
    </row>
    <row r="28" spans="8:11" x14ac:dyDescent="0.25">
      <c r="H28" s="10">
        <v>25</v>
      </c>
      <c r="I28" s="12">
        <v>8.0064294593538232</v>
      </c>
      <c r="J28" s="10">
        <f t="shared" si="0"/>
        <v>22.919999999999998</v>
      </c>
      <c r="K28" s="10">
        <f t="shared" si="1"/>
        <v>15.54</v>
      </c>
    </row>
    <row r="29" spans="8:11" x14ac:dyDescent="0.25">
      <c r="H29" s="10">
        <v>26</v>
      </c>
      <c r="I29" s="12">
        <v>10.392250340408625</v>
      </c>
      <c r="J29" s="10">
        <f t="shared" si="0"/>
        <v>22.919999999999998</v>
      </c>
      <c r="K29" s="10">
        <f t="shared" si="1"/>
        <v>15.54</v>
      </c>
    </row>
    <row r="30" spans="8:11" x14ac:dyDescent="0.25">
      <c r="H30" s="10">
        <v>27</v>
      </c>
      <c r="I30" s="12">
        <v>0.89368228620475154</v>
      </c>
      <c r="J30" s="10">
        <f t="shared" si="0"/>
        <v>22.919999999999998</v>
      </c>
      <c r="K30" s="10">
        <f t="shared" si="1"/>
        <v>15.54</v>
      </c>
    </row>
    <row r="31" spans="8:11" x14ac:dyDescent="0.25">
      <c r="H31" s="10">
        <v>28</v>
      </c>
      <c r="I31" s="12">
        <v>5.3172718622767645</v>
      </c>
      <c r="J31" s="10">
        <f t="shared" si="0"/>
        <v>22.919999999999998</v>
      </c>
      <c r="K31" s="10">
        <f t="shared" si="1"/>
        <v>15.54</v>
      </c>
    </row>
    <row r="32" spans="8:11" x14ac:dyDescent="0.25">
      <c r="H32" s="10">
        <v>29</v>
      </c>
      <c r="I32" s="12">
        <v>8.2217905546668515</v>
      </c>
      <c r="J32" s="10">
        <f t="shared" si="0"/>
        <v>22.919999999999998</v>
      </c>
      <c r="K32" s="10">
        <f t="shared" si="1"/>
        <v>15.54</v>
      </c>
    </row>
    <row r="33" spans="8:11" x14ac:dyDescent="0.25">
      <c r="H33" s="10">
        <v>30</v>
      </c>
      <c r="I33" s="12">
        <v>7.6028096596188819</v>
      </c>
      <c r="J33" s="10">
        <f t="shared" si="0"/>
        <v>22.919999999999998</v>
      </c>
      <c r="K33" s="10">
        <f t="shared" si="1"/>
        <v>15.54</v>
      </c>
    </row>
  </sheetData>
  <pageMargins left="0.7" right="0.7" top="0.75" bottom="0.75" header="0.3" footer="0.3"/>
  <pageSetup orientation="portrait" r:id="rId1"/>
  <headerFooter>
    <oddFooter>&amp;C&amp;1#&amp;"Arial"&amp;10&amp;K000000Internal</oddFooter>
  </headerFooter>
  <drawing r:id="rId2"/>
  <legacyDrawing r:id="rId3"/>
  <oleObjects>
    <mc:AlternateContent xmlns:mc="http://schemas.openxmlformats.org/markup-compatibility/2006">
      <mc:Choice Requires="x14">
        <oleObject progId="Equation.3" shapeId="9217" r:id="rId4">
          <objectPr defaultSize="0" autoPict="0" r:id="rId5">
            <anchor moveWithCells="1" sizeWithCells="1">
              <from>
                <xdr:col>0</xdr:col>
                <xdr:colOff>390525</xdr:colOff>
                <xdr:row>3</xdr:row>
                <xdr:rowOff>66675</xdr:rowOff>
              </from>
              <to>
                <xdr:col>2</xdr:col>
                <xdr:colOff>466725</xdr:colOff>
                <xdr:row>5</xdr:row>
                <xdr:rowOff>104775</xdr:rowOff>
              </to>
            </anchor>
          </objectPr>
        </oleObject>
      </mc:Choice>
      <mc:Fallback>
        <oleObject progId="Equation.3" shapeId="9217" r:id="rId4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39A42-3885-475D-B20A-EEE532F5E9E3}">
  <sheetPr>
    <tabColor theme="0" tint="-0.499984740745262"/>
  </sheetPr>
  <dimension ref="A6:K37"/>
  <sheetViews>
    <sheetView zoomScale="80" zoomScaleNormal="80" workbookViewId="0">
      <selection activeCell="AE38" sqref="AE38"/>
    </sheetView>
  </sheetViews>
  <sheetFormatPr defaultRowHeight="15" x14ac:dyDescent="0.25"/>
  <cols>
    <col min="2" max="2" width="14" customWidth="1"/>
    <col min="4" max="4" width="7.42578125" customWidth="1"/>
    <col min="5" max="5" width="12" customWidth="1"/>
    <col min="10" max="10" width="12.42578125" customWidth="1"/>
    <col min="11" max="11" width="12.140625" customWidth="1"/>
  </cols>
  <sheetData>
    <row r="6" spans="1:11" x14ac:dyDescent="0.25">
      <c r="A6" s="11" t="s">
        <v>4</v>
      </c>
      <c r="B6" s="11" t="s">
        <v>48</v>
      </c>
      <c r="C6" s="2"/>
      <c r="H6" s="11" t="s">
        <v>4</v>
      </c>
      <c r="I6" s="11" t="s">
        <v>49</v>
      </c>
      <c r="J6" s="11" t="s">
        <v>46</v>
      </c>
      <c r="K6" s="11" t="s">
        <v>39</v>
      </c>
    </row>
    <row r="7" spans="1:11" x14ac:dyDescent="0.25">
      <c r="A7" s="10">
        <v>1</v>
      </c>
      <c r="B7" s="10">
        <v>4.06301570844031</v>
      </c>
      <c r="C7" s="2"/>
      <c r="D7" s="16"/>
      <c r="E7" s="17">
        <f>(SUM(B12:B19))</f>
        <v>2.7141627987792218</v>
      </c>
      <c r="H7" s="10">
        <v>1</v>
      </c>
      <c r="I7" s="10">
        <v>3.5071222588134212</v>
      </c>
      <c r="J7" s="10">
        <v>11.53710051</v>
      </c>
      <c r="K7" s="10">
        <v>11.146316799999999</v>
      </c>
    </row>
    <row r="8" spans="1:11" x14ac:dyDescent="0.25">
      <c r="A8" s="10">
        <v>2</v>
      </c>
      <c r="B8" s="10">
        <v>2.1702855043291098</v>
      </c>
      <c r="C8" s="2"/>
      <c r="D8" s="16"/>
      <c r="E8" s="17">
        <f>((B12^2+B13^2+B14^2+B15^2+B16^2+B17^2+B18^2+B19^2))</f>
        <v>1.7751129687848479</v>
      </c>
      <c r="H8" s="10">
        <v>2</v>
      </c>
      <c r="I8" s="10">
        <v>1.4549679362814603</v>
      </c>
      <c r="J8" s="10">
        <v>11.53710051</v>
      </c>
      <c r="K8" s="10">
        <v>11.146316799999999</v>
      </c>
    </row>
    <row r="9" spans="1:11" x14ac:dyDescent="0.25">
      <c r="A9" s="10">
        <v>3</v>
      </c>
      <c r="B9" s="10">
        <v>1.6008862070974099</v>
      </c>
      <c r="C9" s="2"/>
      <c r="D9" s="16"/>
      <c r="E9" s="17">
        <f>((B12^3+B13^3+B14^3+B15^3+B16^3+B17^3+B18^3+B19^3))</f>
        <v>1.328756420437518</v>
      </c>
      <c r="H9" s="10">
        <v>3</v>
      </c>
      <c r="I9" s="10">
        <v>3.1478782551134143</v>
      </c>
      <c r="J9" s="10">
        <v>11.53710051</v>
      </c>
      <c r="K9" s="10">
        <v>11.146316799999999</v>
      </c>
    </row>
    <row r="10" spans="1:11" x14ac:dyDescent="0.25">
      <c r="A10" s="10">
        <v>4</v>
      </c>
      <c r="B10" s="10">
        <v>1.3174486883505201</v>
      </c>
      <c r="C10" s="2"/>
      <c r="D10" s="16"/>
      <c r="E10" s="17">
        <f>(1-((2*E7*E9)/(3*E8^2)))</f>
        <v>0.23697631913456263</v>
      </c>
      <c r="H10" s="10">
        <v>4</v>
      </c>
      <c r="I10" s="10">
        <v>1.4112024656700037</v>
      </c>
      <c r="J10" s="10">
        <v>11.53710051</v>
      </c>
      <c r="K10" s="10">
        <v>11.146316799999999</v>
      </c>
    </row>
    <row r="11" spans="1:11" x14ac:dyDescent="0.25">
      <c r="A11" s="10">
        <v>5</v>
      </c>
      <c r="B11" s="10">
        <v>1.1342010930034301</v>
      </c>
      <c r="C11" s="2"/>
      <c r="D11" s="18">
        <v>0.99</v>
      </c>
      <c r="E11" s="17">
        <v>2.58</v>
      </c>
      <c r="H11" s="10">
        <v>5</v>
      </c>
      <c r="I11" s="10">
        <v>1.3440523689363422</v>
      </c>
      <c r="J11" s="10">
        <v>11.53710051</v>
      </c>
      <c r="K11" s="10">
        <v>11.146316799999999</v>
      </c>
    </row>
    <row r="12" spans="1:11" x14ac:dyDescent="0.25">
      <c r="A12" s="10">
        <v>6</v>
      </c>
      <c r="B12" s="10">
        <v>0.93359728186612301</v>
      </c>
      <c r="C12" s="2"/>
      <c r="D12" s="19">
        <v>0.95</v>
      </c>
      <c r="E12" s="17">
        <v>1.645</v>
      </c>
      <c r="H12" s="10">
        <v>6</v>
      </c>
      <c r="I12" s="10">
        <v>2.9687721442469699</v>
      </c>
      <c r="J12" s="10">
        <v>11.53710051</v>
      </c>
      <c r="K12" s="10">
        <v>11.146316799999999</v>
      </c>
    </row>
    <row r="13" spans="1:11" x14ac:dyDescent="0.25">
      <c r="A13" s="10">
        <v>7</v>
      </c>
      <c r="B13" s="10">
        <v>0.643530887107711</v>
      </c>
      <c r="C13" s="2"/>
      <c r="D13" s="16"/>
      <c r="E13" s="17">
        <f>(E7*((E11*(((2*E8*E10^2)^1/2)/E7))+((E7*E10*(E10-1))/E7^2)+1)^1/E10)</f>
        <v>11.775586555642477</v>
      </c>
      <c r="F13" s="20">
        <v>0.99</v>
      </c>
      <c r="H13" s="10">
        <v>7</v>
      </c>
      <c r="I13" s="10">
        <v>4.1933516544757587</v>
      </c>
      <c r="J13" s="10">
        <v>11.53710051</v>
      </c>
      <c r="K13" s="10">
        <v>11.146316799999999</v>
      </c>
    </row>
    <row r="14" spans="1:11" x14ac:dyDescent="0.25">
      <c r="A14" s="10">
        <v>8</v>
      </c>
      <c r="B14" s="10">
        <v>0.58867921437633997</v>
      </c>
      <c r="C14" s="2"/>
      <c r="D14" s="16"/>
      <c r="E14" s="17">
        <f>(E7*((E12*(((2*E8*E10^2)^1/2)/E7))+((E7*E10*(E10-1))/E7^2)+1)^1/E10)</f>
        <v>11.38226970118221</v>
      </c>
      <c r="F14" s="20">
        <v>0.95</v>
      </c>
      <c r="H14" s="10">
        <v>8</v>
      </c>
      <c r="I14" s="10">
        <v>1.9578891322207834</v>
      </c>
      <c r="J14" s="10">
        <v>11.53710051</v>
      </c>
      <c r="K14" s="10">
        <v>11.146316799999999</v>
      </c>
    </row>
    <row r="15" spans="1:11" x14ac:dyDescent="0.25">
      <c r="A15" s="10">
        <v>9</v>
      </c>
      <c r="B15" s="10">
        <v>0.34524758134744299</v>
      </c>
      <c r="C15" s="2"/>
      <c r="H15" s="10">
        <v>9</v>
      </c>
      <c r="I15" s="10">
        <v>1.1321103756579545</v>
      </c>
      <c r="J15" s="10">
        <v>11.53710051</v>
      </c>
      <c r="K15" s="10">
        <v>11.146316799999999</v>
      </c>
    </row>
    <row r="16" spans="1:11" x14ac:dyDescent="0.25">
      <c r="A16" s="10">
        <v>10</v>
      </c>
      <c r="B16" s="10">
        <v>0.14938043525203901</v>
      </c>
      <c r="C16" s="2"/>
      <c r="H16" s="10">
        <v>10</v>
      </c>
      <c r="I16" s="10">
        <v>3.6118067412798665</v>
      </c>
      <c r="J16" s="10">
        <v>11.53710051</v>
      </c>
      <c r="K16" s="10">
        <v>11.146316799999999</v>
      </c>
    </row>
    <row r="17" spans="1:11" x14ac:dyDescent="0.25">
      <c r="A17" s="10">
        <v>11</v>
      </c>
      <c r="B17" s="10">
        <v>2.8428808283652799E-2</v>
      </c>
      <c r="C17" s="2"/>
      <c r="H17" s="10">
        <v>11</v>
      </c>
      <c r="I17" s="10">
        <v>2.9541923390532911</v>
      </c>
      <c r="J17" s="10">
        <v>11.53710051</v>
      </c>
      <c r="K17" s="10">
        <v>11.146316799999999</v>
      </c>
    </row>
    <row r="18" spans="1:11" x14ac:dyDescent="0.25">
      <c r="A18" s="10">
        <v>12</v>
      </c>
      <c r="B18" s="10">
        <v>2.2529847688458102E-2</v>
      </c>
      <c r="C18" s="2"/>
      <c r="H18" s="10">
        <v>12</v>
      </c>
      <c r="I18" s="10">
        <v>1.3311695678172561</v>
      </c>
      <c r="J18" s="10">
        <v>11.53710051</v>
      </c>
      <c r="K18" s="10">
        <v>11.146316799999999</v>
      </c>
    </row>
    <row r="19" spans="1:11" x14ac:dyDescent="0.25">
      <c r="A19" s="10">
        <v>13</v>
      </c>
      <c r="B19" s="10">
        <v>2.7687428574548699E-3</v>
      </c>
      <c r="C19" s="2"/>
      <c r="H19" s="10">
        <v>13</v>
      </c>
      <c r="I19" s="10">
        <v>1.4598195264278639</v>
      </c>
      <c r="J19" s="10">
        <v>11.53710051</v>
      </c>
      <c r="K19" s="10">
        <v>11.146316799999999</v>
      </c>
    </row>
    <row r="20" spans="1:11" x14ac:dyDescent="0.25">
      <c r="H20" s="10">
        <v>14</v>
      </c>
      <c r="I20" s="10">
        <v>2.8832592891148221</v>
      </c>
      <c r="J20" s="10">
        <v>11.53710051</v>
      </c>
      <c r="K20" s="10">
        <v>11.146316799999999</v>
      </c>
    </row>
    <row r="21" spans="1:11" x14ac:dyDescent="0.25">
      <c r="H21" s="10">
        <v>15</v>
      </c>
      <c r="I21" s="10">
        <v>2.3555819964768232</v>
      </c>
      <c r="J21" s="10">
        <v>11.53710051</v>
      </c>
      <c r="K21" s="10">
        <v>11.146316799999999</v>
      </c>
    </row>
    <row r="22" spans="1:11" x14ac:dyDescent="0.25">
      <c r="H22" s="10">
        <v>16</v>
      </c>
      <c r="I22" s="10">
        <v>10.703734332287985</v>
      </c>
      <c r="J22" s="10">
        <v>11.53710051</v>
      </c>
      <c r="K22" s="10">
        <v>11.146316799999999</v>
      </c>
    </row>
    <row r="23" spans="1:11" x14ac:dyDescent="0.25">
      <c r="H23" s="10">
        <v>17</v>
      </c>
      <c r="I23" s="10">
        <v>0.66840203657544239</v>
      </c>
      <c r="J23" s="10">
        <v>11.53710051</v>
      </c>
      <c r="K23" s="10">
        <v>11.146316799999999</v>
      </c>
    </row>
    <row r="24" spans="1:11" x14ac:dyDescent="0.25">
      <c r="H24" s="10">
        <v>18</v>
      </c>
      <c r="I24" s="10">
        <v>4.853592837831207</v>
      </c>
      <c r="J24" s="10">
        <v>11.53710051</v>
      </c>
      <c r="K24" s="10">
        <v>11.146316799999999</v>
      </c>
    </row>
    <row r="25" spans="1:11" x14ac:dyDescent="0.25">
      <c r="H25" s="10">
        <v>19</v>
      </c>
      <c r="I25" s="10">
        <v>1.0176629009015723</v>
      </c>
      <c r="J25" s="10">
        <v>11.53710051</v>
      </c>
      <c r="K25" s="10">
        <v>11.146316799999999</v>
      </c>
    </row>
    <row r="26" spans="1:11" x14ac:dyDescent="0.25">
      <c r="H26" s="10">
        <v>20</v>
      </c>
      <c r="I26" s="10">
        <v>3.6526729742164252</v>
      </c>
      <c r="J26" s="10">
        <v>11.53710051</v>
      </c>
      <c r="K26" s="10">
        <v>11.146316799999999</v>
      </c>
    </row>
    <row r="27" spans="1:11" x14ac:dyDescent="0.25">
      <c r="H27" s="10">
        <v>21</v>
      </c>
      <c r="I27" s="10">
        <v>4.5441367292129673</v>
      </c>
      <c r="J27" s="10">
        <v>11.53710051</v>
      </c>
      <c r="K27" s="10">
        <v>11.146316799999999</v>
      </c>
    </row>
    <row r="28" spans="1:11" x14ac:dyDescent="0.25">
      <c r="H28" s="10">
        <v>22</v>
      </c>
      <c r="I28" s="10">
        <v>1.5855519501705246</v>
      </c>
      <c r="J28" s="10">
        <v>11.53710051</v>
      </c>
      <c r="K28" s="10">
        <v>11.146316799999999</v>
      </c>
    </row>
    <row r="29" spans="1:11" x14ac:dyDescent="0.25">
      <c r="H29" s="10">
        <v>23</v>
      </c>
      <c r="I29" s="10">
        <v>1.8653288327449862</v>
      </c>
      <c r="J29" s="10">
        <v>11.53710051</v>
      </c>
      <c r="K29" s="10">
        <v>11.146316799999999</v>
      </c>
    </row>
    <row r="30" spans="1:11" x14ac:dyDescent="0.25">
      <c r="H30" s="10">
        <v>24</v>
      </c>
      <c r="I30" s="10">
        <v>3.2322770400585372</v>
      </c>
      <c r="J30" s="10">
        <v>11.53710051</v>
      </c>
      <c r="K30" s="10">
        <v>11.146316799999999</v>
      </c>
    </row>
    <row r="31" spans="1:11" x14ac:dyDescent="0.25">
      <c r="H31" s="10">
        <v>25</v>
      </c>
      <c r="I31" s="10">
        <v>0.22095459777883741</v>
      </c>
      <c r="J31" s="10">
        <v>11.53710051</v>
      </c>
      <c r="K31" s="10">
        <v>11.146316799999999</v>
      </c>
    </row>
    <row r="32" spans="1:11" x14ac:dyDescent="0.25">
      <c r="H32" s="10">
        <v>26</v>
      </c>
      <c r="I32" s="10">
        <v>0.17050573530679783</v>
      </c>
      <c r="J32" s="10">
        <v>11.53710051</v>
      </c>
      <c r="K32" s="10">
        <v>11.146316799999999</v>
      </c>
    </row>
    <row r="33" spans="8:11" x14ac:dyDescent="0.25">
      <c r="H33" s="10">
        <v>27</v>
      </c>
      <c r="I33" s="10">
        <v>2.3832379820083065</v>
      </c>
      <c r="J33" s="10">
        <v>11.53710051</v>
      </c>
      <c r="K33" s="10">
        <v>11.146316799999999</v>
      </c>
    </row>
    <row r="34" spans="8:11" x14ac:dyDescent="0.25">
      <c r="H34" s="10">
        <v>28</v>
      </c>
      <c r="I34" s="10">
        <v>1.1149799057685956</v>
      </c>
      <c r="J34" s="10">
        <v>11.53710051</v>
      </c>
      <c r="K34" s="10">
        <v>11.146316799999999</v>
      </c>
    </row>
    <row r="35" spans="8:11" x14ac:dyDescent="0.25">
      <c r="H35" s="10">
        <v>29</v>
      </c>
      <c r="I35" s="10">
        <v>4.0187746346950952</v>
      </c>
      <c r="J35" s="10">
        <v>11.53710051</v>
      </c>
      <c r="K35" s="10">
        <v>11.146316799999999</v>
      </c>
    </row>
    <row r="36" spans="8:11" x14ac:dyDescent="0.25">
      <c r="H36" s="10">
        <v>30</v>
      </c>
      <c r="I36" s="10">
        <v>2.9645994006848491</v>
      </c>
      <c r="J36" s="10">
        <v>11.53710051</v>
      </c>
      <c r="K36" s="10">
        <v>11.146316799999999</v>
      </c>
    </row>
    <row r="37" spans="8:11" x14ac:dyDescent="0.25">
      <c r="H37" s="10">
        <v>31</v>
      </c>
      <c r="I37" s="10">
        <v>2.4254104969023857</v>
      </c>
      <c r="J37" s="10">
        <v>11.53710051</v>
      </c>
      <c r="K37" s="10">
        <v>11.146316799999999</v>
      </c>
    </row>
  </sheetData>
  <pageMargins left="0.7" right="0.7" top="0.75" bottom="0.75" header="0.3" footer="0.3"/>
  <pageSetup orientation="portrait" r:id="rId1"/>
  <headerFooter>
    <oddFooter>&amp;C&amp;1#&amp;"Arial"&amp;10&amp;K000000Internal</oddFooter>
  </headerFooter>
  <drawing r:id="rId2"/>
  <legacyDrawing r:id="rId3"/>
  <oleObjects>
    <mc:AlternateContent xmlns:mc="http://schemas.openxmlformats.org/markup-compatibility/2006">
      <mc:Choice Requires="x14">
        <oleObject progId="Equation.3" shapeId="16386" r:id="rId4">
          <objectPr defaultSize="0" autoPict="0" r:id="rId5">
            <anchor moveWithCells="1" sizeWithCells="1">
              <from>
                <xdr:col>0</xdr:col>
                <xdr:colOff>200025</xdr:colOff>
                <xdr:row>0</xdr:row>
                <xdr:rowOff>133350</xdr:rowOff>
              </from>
              <to>
                <xdr:col>6</xdr:col>
                <xdr:colOff>276225</xdr:colOff>
                <xdr:row>3</xdr:row>
                <xdr:rowOff>171450</xdr:rowOff>
              </to>
            </anchor>
          </objectPr>
        </oleObject>
      </mc:Choice>
      <mc:Fallback>
        <oleObject progId="Equation.3" shapeId="16386" r:id="rId4"/>
      </mc:Fallback>
    </mc:AlternateContent>
    <mc:AlternateContent xmlns:mc="http://schemas.openxmlformats.org/markup-compatibility/2006">
      <mc:Choice Requires="x14">
        <oleObject progId="Equation.3" shapeId="16387" r:id="rId6">
          <objectPr defaultSize="0" autoPict="0" r:id="rId7">
            <anchor moveWithCells="1" sizeWithCells="1">
              <from>
                <xdr:col>6</xdr:col>
                <xdr:colOff>447675</xdr:colOff>
                <xdr:row>1</xdr:row>
                <xdr:rowOff>47625</xdr:rowOff>
              </from>
              <to>
                <xdr:col>8</xdr:col>
                <xdr:colOff>66675</xdr:colOff>
                <xdr:row>3</xdr:row>
                <xdr:rowOff>114300</xdr:rowOff>
              </to>
            </anchor>
          </objectPr>
        </oleObject>
      </mc:Choice>
      <mc:Fallback>
        <oleObject progId="Equation.3" shapeId="16387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Guide</vt:lpstr>
      <vt:lpstr>Step 1 - NOC6 - X &amp; X̆</vt:lpstr>
      <vt:lpstr>Step 1 - Cmxm</vt:lpstr>
      <vt:lpstr>Step 2 - Eiegenvalues</vt:lpstr>
      <vt:lpstr>Step 2 - Eiegenvectors</vt:lpstr>
      <vt:lpstr>Step 2 - P=X̆V</vt:lpstr>
      <vt:lpstr>Step 3 - T2</vt:lpstr>
      <vt:lpstr>Step 3 - SPE</vt:lpstr>
      <vt:lpstr>Step 4 - T2</vt:lpstr>
      <vt:lpstr>Step 4 - SPE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CC-SISPI08</dc:creator>
  <cp:lastModifiedBy>Muhammad Iqbal Shafiq bin Mohd Shaufi</cp:lastModifiedBy>
  <dcterms:created xsi:type="dcterms:W3CDTF">2023-01-10T03:16:28Z</dcterms:created>
  <dcterms:modified xsi:type="dcterms:W3CDTF">2023-01-17T08:54:22Z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530cf4-8573-4c29-a912-bbcdac835909_Enabled">
    <vt:lpwstr>true</vt:lpwstr>
  </property>
  <property fmtid="{D5CDD505-2E9C-101B-9397-08002B2CF9AE}" pid="3" name="MSIP_Label_06530cf4-8573-4c29-a912-bbcdac835909_SetDate">
    <vt:lpwstr>2023-01-17T08:54:22Z</vt:lpwstr>
  </property>
  <property fmtid="{D5CDD505-2E9C-101B-9397-08002B2CF9AE}" pid="4" name="MSIP_Label_06530cf4-8573-4c29-a912-bbcdac835909_Method">
    <vt:lpwstr>Standard</vt:lpwstr>
  </property>
  <property fmtid="{D5CDD505-2E9C-101B-9397-08002B2CF9AE}" pid="5" name="MSIP_Label_06530cf4-8573-4c29-a912-bbcdac835909_Name">
    <vt:lpwstr>06530cf4-8573-4c29-a912-bbcdac835909</vt:lpwstr>
  </property>
  <property fmtid="{D5CDD505-2E9C-101B-9397-08002B2CF9AE}" pid="6" name="MSIP_Label_06530cf4-8573-4c29-a912-bbcdac835909_SiteId">
    <vt:lpwstr>ecaa386b-c8df-4ce0-ad01-740cbdb5ba55</vt:lpwstr>
  </property>
  <property fmtid="{D5CDD505-2E9C-101B-9397-08002B2CF9AE}" pid="7" name="MSIP_Label_06530cf4-8573-4c29-a912-bbcdac835909_ActionId">
    <vt:lpwstr>aab24bba-1dbe-413d-a4a8-484c67ffa10f</vt:lpwstr>
  </property>
  <property fmtid="{D5CDD505-2E9C-101B-9397-08002B2CF9AE}" pid="8" name="MSIP_Label_06530cf4-8573-4c29-a912-bbcdac835909_ContentBits">
    <vt:lpwstr>2</vt:lpwstr>
  </property>
</Properties>
</file>