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sf-my.sharepoint.com/personal/mohdshmu_basfad_basf_net/Documents/Iqbal/Process Monitoring Training (MPSM and ANN) UMP/General_Iqbal/"/>
    </mc:Choice>
  </mc:AlternateContent>
  <xr:revisionPtr revIDLastSave="118" documentId="8_{BABADE2A-3F48-4E30-887C-FFD1804F5770}" xr6:coauthVersionLast="47" xr6:coauthVersionMax="47" xr10:uidLastSave="{A3E6C8FF-AAD3-46CE-ABD0-1C4811036133}"/>
  <bookViews>
    <workbookView xWindow="-120" yWindow="-120" windowWidth="29040" windowHeight="15840" tabRatio="770" xr2:uid="{E06990A0-6BFF-49A0-B477-7D4ABD037907}"/>
  </bookViews>
  <sheets>
    <sheet name="Guide" sheetId="12" r:id="rId1"/>
    <sheet name="Step 5 - NOC6 - X &amp; X̆" sheetId="9" r:id="rId2"/>
    <sheet name="Step 6 - P=X̆V" sheetId="6" r:id="rId3"/>
    <sheet name="Step 7 - T2" sheetId="7" r:id="rId4"/>
    <sheet name="Step 7 - SPE" sheetId="8" r:id="rId5"/>
    <sheet name="Step 8 - T2" sheetId="10" r:id="rId6"/>
    <sheet name="Step 8 - SPE" sheetId="11" r:id="rId7"/>
    <sheet name="Archive_Eigenvalues" sheetId="2" r:id="rId8"/>
    <sheet name="Archive_Eiegenvectors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7" l="1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J41" i="10"/>
  <c r="K41" i="10"/>
  <c r="J42" i="10"/>
  <c r="K42" i="10"/>
  <c r="J43" i="10"/>
  <c r="K43" i="10"/>
  <c r="J44" i="10"/>
  <c r="K44" i="10"/>
  <c r="J45" i="10"/>
  <c r="K45" i="10"/>
  <c r="J46" i="10"/>
  <c r="K46" i="10"/>
  <c r="J47" i="10"/>
  <c r="K47" i="10"/>
  <c r="J48" i="10"/>
  <c r="K48" i="10"/>
  <c r="J49" i="10"/>
  <c r="K49" i="10"/>
  <c r="J50" i="10"/>
  <c r="K50" i="10"/>
  <c r="J51" i="10"/>
  <c r="K51" i="10"/>
  <c r="J52" i="10"/>
  <c r="K52" i="10"/>
  <c r="J53" i="10"/>
  <c r="K53" i="10"/>
  <c r="J8" i="11"/>
  <c r="K8" i="11"/>
  <c r="J9" i="11"/>
  <c r="K9" i="11"/>
  <c r="J10" i="11"/>
  <c r="K10" i="11"/>
  <c r="J11" i="11"/>
  <c r="K11" i="11"/>
  <c r="J12" i="11"/>
  <c r="K12" i="11"/>
  <c r="J13" i="11"/>
  <c r="K13" i="11"/>
  <c r="J14" i="11"/>
  <c r="K14" i="11"/>
  <c r="J15" i="11"/>
  <c r="K15" i="11"/>
  <c r="J16" i="11"/>
  <c r="K16" i="11"/>
  <c r="J17" i="11"/>
  <c r="K17" i="11"/>
  <c r="J18" i="11"/>
  <c r="K18" i="11"/>
  <c r="J19" i="11"/>
  <c r="K19" i="11"/>
  <c r="J20" i="11"/>
  <c r="K20" i="11"/>
  <c r="J21" i="11"/>
  <c r="K21" i="11"/>
  <c r="J22" i="11"/>
  <c r="K22" i="11"/>
  <c r="J23" i="11"/>
  <c r="K23" i="11"/>
  <c r="J24" i="11"/>
  <c r="K24" i="11"/>
  <c r="J25" i="11"/>
  <c r="K25" i="11"/>
  <c r="J26" i="11"/>
  <c r="K26" i="11"/>
  <c r="J27" i="11"/>
  <c r="K27" i="11"/>
  <c r="J28" i="11"/>
  <c r="K28" i="11"/>
  <c r="J29" i="11"/>
  <c r="K29" i="11"/>
  <c r="J30" i="11"/>
  <c r="K30" i="11"/>
  <c r="J31" i="11"/>
  <c r="K31" i="11"/>
  <c r="J32" i="11"/>
  <c r="K32" i="11"/>
  <c r="J33" i="11"/>
  <c r="K33" i="11"/>
  <c r="J34" i="11"/>
  <c r="K34" i="11"/>
  <c r="J35" i="11"/>
  <c r="K35" i="11"/>
  <c r="J36" i="11"/>
  <c r="K36" i="11"/>
  <c r="J37" i="11"/>
  <c r="K37" i="11"/>
  <c r="J38" i="11"/>
  <c r="K38" i="11"/>
  <c r="J39" i="11"/>
  <c r="K39" i="11"/>
  <c r="J40" i="11"/>
  <c r="K40" i="11"/>
  <c r="J41" i="11"/>
  <c r="K41" i="11"/>
  <c r="J42" i="11"/>
  <c r="K42" i="11"/>
  <c r="J43" i="11"/>
  <c r="K43" i="11"/>
  <c r="J44" i="11"/>
  <c r="K44" i="11"/>
  <c r="J45" i="11"/>
  <c r="K45" i="11"/>
  <c r="J46" i="11"/>
  <c r="K46" i="11"/>
  <c r="J47" i="11"/>
  <c r="K47" i="11"/>
  <c r="J48" i="11"/>
  <c r="K48" i="11"/>
  <c r="J49" i="11"/>
  <c r="K49" i="11"/>
  <c r="J50" i="11"/>
  <c r="K50" i="11"/>
  <c r="J51" i="11"/>
  <c r="K51" i="11"/>
  <c r="J52" i="11"/>
  <c r="K52" i="11"/>
  <c r="J53" i="11"/>
  <c r="K53" i="11"/>
  <c r="J54" i="11"/>
  <c r="K54" i="11"/>
  <c r="J55" i="11"/>
  <c r="K55" i="11"/>
  <c r="J56" i="11"/>
  <c r="K56" i="11"/>
  <c r="K7" i="11"/>
  <c r="J7" i="11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A56" i="8" a="1"/>
  <c r="A56" i="8" s="1"/>
  <c r="A3" i="8" a="1"/>
  <c r="A3" i="8" s="1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A1" i="6" a="1"/>
  <c r="A1" i="6" s="1"/>
  <c r="Q33" i="9"/>
  <c r="R33" i="9"/>
  <c r="S33" i="9"/>
  <c r="T33" i="9"/>
  <c r="U33" i="9"/>
  <c r="V33" i="9"/>
  <c r="W33" i="9"/>
  <c r="X33" i="9"/>
  <c r="Y33" i="9"/>
  <c r="Z33" i="9"/>
  <c r="AA33" i="9"/>
  <c r="AB33" i="9"/>
  <c r="AC33" i="9"/>
  <c r="Q34" i="9"/>
  <c r="R34" i="9"/>
  <c r="S34" i="9"/>
  <c r="T34" i="9"/>
  <c r="U34" i="9"/>
  <c r="V34" i="9"/>
  <c r="W34" i="9"/>
  <c r="X34" i="9"/>
  <c r="Y34" i="9"/>
  <c r="Z34" i="9"/>
  <c r="AA34" i="9"/>
  <c r="AB34" i="9"/>
  <c r="AC34" i="9"/>
  <c r="Q35" i="9"/>
  <c r="R35" i="9"/>
  <c r="S35" i="9"/>
  <c r="T35" i="9"/>
  <c r="U35" i="9"/>
  <c r="V35" i="9"/>
  <c r="W35" i="9"/>
  <c r="X35" i="9"/>
  <c r="Y35" i="9"/>
  <c r="Z35" i="9"/>
  <c r="AA35" i="9"/>
  <c r="AB35" i="9"/>
  <c r="AC35" i="9"/>
  <c r="Q36" i="9"/>
  <c r="R36" i="9"/>
  <c r="S36" i="9"/>
  <c r="T36" i="9"/>
  <c r="U36" i="9"/>
  <c r="V36" i="9"/>
  <c r="W36" i="9"/>
  <c r="X36" i="9"/>
  <c r="Y36" i="9"/>
  <c r="Z36" i="9"/>
  <c r="AA36" i="9"/>
  <c r="AB36" i="9"/>
  <c r="AC36" i="9"/>
  <c r="Q37" i="9"/>
  <c r="R37" i="9"/>
  <c r="S37" i="9"/>
  <c r="T37" i="9"/>
  <c r="U37" i="9"/>
  <c r="V37" i="9"/>
  <c r="W37" i="9"/>
  <c r="X37" i="9"/>
  <c r="Y37" i="9"/>
  <c r="Z37" i="9"/>
  <c r="AA37" i="9"/>
  <c r="AB37" i="9"/>
  <c r="AC37" i="9"/>
  <c r="Q38" i="9"/>
  <c r="R38" i="9"/>
  <c r="S38" i="9"/>
  <c r="T38" i="9"/>
  <c r="U38" i="9"/>
  <c r="V38" i="9"/>
  <c r="W38" i="9"/>
  <c r="X38" i="9"/>
  <c r="Y38" i="9"/>
  <c r="Z38" i="9"/>
  <c r="AA38" i="9"/>
  <c r="AB38" i="9"/>
  <c r="AC38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Q40" i="9"/>
  <c r="R40" i="9"/>
  <c r="S40" i="9"/>
  <c r="T40" i="9"/>
  <c r="U40" i="9"/>
  <c r="V40" i="9"/>
  <c r="W40" i="9"/>
  <c r="X40" i="9"/>
  <c r="Y40" i="9"/>
  <c r="Z40" i="9"/>
  <c r="AA40" i="9"/>
  <c r="AB40" i="9"/>
  <c r="AC40" i="9"/>
  <c r="Q41" i="9"/>
  <c r="R41" i="9"/>
  <c r="S41" i="9"/>
  <c r="T41" i="9"/>
  <c r="U41" i="9"/>
  <c r="V41" i="9"/>
  <c r="W41" i="9"/>
  <c r="X41" i="9"/>
  <c r="Y41" i="9"/>
  <c r="Z41" i="9"/>
  <c r="AA41" i="9"/>
  <c r="AB41" i="9"/>
  <c r="AC41" i="9"/>
  <c r="Q42" i="9"/>
  <c r="R42" i="9"/>
  <c r="S42" i="9"/>
  <c r="T42" i="9"/>
  <c r="U42" i="9"/>
  <c r="V42" i="9"/>
  <c r="W42" i="9"/>
  <c r="X42" i="9"/>
  <c r="Y42" i="9"/>
  <c r="Z42" i="9"/>
  <c r="AA42" i="9"/>
  <c r="AB42" i="9"/>
  <c r="AC42" i="9"/>
  <c r="Q43" i="9"/>
  <c r="R43" i="9"/>
  <c r="S43" i="9"/>
  <c r="T43" i="9"/>
  <c r="U43" i="9"/>
  <c r="V43" i="9"/>
  <c r="W43" i="9"/>
  <c r="X43" i="9"/>
  <c r="Y43" i="9"/>
  <c r="Z43" i="9"/>
  <c r="AA43" i="9"/>
  <c r="AB43" i="9"/>
  <c r="AC43" i="9"/>
  <c r="Q44" i="9"/>
  <c r="R44" i="9"/>
  <c r="S44" i="9"/>
  <c r="T44" i="9"/>
  <c r="U44" i="9"/>
  <c r="V44" i="9"/>
  <c r="W44" i="9"/>
  <c r="X44" i="9"/>
  <c r="Y44" i="9"/>
  <c r="Z44" i="9"/>
  <c r="AA44" i="9"/>
  <c r="AB44" i="9"/>
  <c r="AC44" i="9"/>
  <c r="Q45" i="9"/>
  <c r="R45" i="9"/>
  <c r="S45" i="9"/>
  <c r="T45" i="9"/>
  <c r="U45" i="9"/>
  <c r="V45" i="9"/>
  <c r="W45" i="9"/>
  <c r="X45" i="9"/>
  <c r="Y45" i="9"/>
  <c r="Z45" i="9"/>
  <c r="AA45" i="9"/>
  <c r="AB45" i="9"/>
  <c r="AC45" i="9"/>
  <c r="Q46" i="9"/>
  <c r="R46" i="9"/>
  <c r="S46" i="9"/>
  <c r="T46" i="9"/>
  <c r="U46" i="9"/>
  <c r="V46" i="9"/>
  <c r="W46" i="9"/>
  <c r="X46" i="9"/>
  <c r="Y46" i="9"/>
  <c r="Z46" i="9"/>
  <c r="AA46" i="9"/>
  <c r="AB46" i="9"/>
  <c r="AC46" i="9"/>
  <c r="Q47" i="9"/>
  <c r="R47" i="9"/>
  <c r="S47" i="9"/>
  <c r="T47" i="9"/>
  <c r="U47" i="9"/>
  <c r="V47" i="9"/>
  <c r="W47" i="9"/>
  <c r="X47" i="9"/>
  <c r="Y47" i="9"/>
  <c r="Z47" i="9"/>
  <c r="AA47" i="9"/>
  <c r="AB47" i="9"/>
  <c r="AC47" i="9"/>
  <c r="Q48" i="9"/>
  <c r="R48" i="9"/>
  <c r="S48" i="9"/>
  <c r="T48" i="9"/>
  <c r="U48" i="9"/>
  <c r="V48" i="9"/>
  <c r="W48" i="9"/>
  <c r="X48" i="9"/>
  <c r="Y48" i="9"/>
  <c r="Z48" i="9"/>
  <c r="AA48" i="9"/>
  <c r="AB48" i="9"/>
  <c r="AC48" i="9"/>
  <c r="Q49" i="9"/>
  <c r="R49" i="9"/>
  <c r="S49" i="9"/>
  <c r="T49" i="9"/>
  <c r="U49" i="9"/>
  <c r="V49" i="9"/>
  <c r="W49" i="9"/>
  <c r="X49" i="9"/>
  <c r="Y49" i="9"/>
  <c r="Z49" i="9"/>
  <c r="AA49" i="9"/>
  <c r="AB49" i="9"/>
  <c r="AC49" i="9"/>
  <c r="Q50" i="9"/>
  <c r="R50" i="9"/>
  <c r="S50" i="9"/>
  <c r="T50" i="9"/>
  <c r="U50" i="9"/>
  <c r="V50" i="9"/>
  <c r="W50" i="9"/>
  <c r="X50" i="9"/>
  <c r="Y50" i="9"/>
  <c r="Z50" i="9"/>
  <c r="AA50" i="9"/>
  <c r="AB50" i="9"/>
  <c r="AC50" i="9"/>
  <c r="Q51" i="9"/>
  <c r="R51" i="9"/>
  <c r="S51" i="9"/>
  <c r="T51" i="9"/>
  <c r="U51" i="9"/>
  <c r="V51" i="9"/>
  <c r="W51" i="9"/>
  <c r="X51" i="9"/>
  <c r="Y51" i="9"/>
  <c r="Z51" i="9"/>
  <c r="AA51" i="9"/>
  <c r="AB51" i="9"/>
  <c r="AC51" i="9"/>
  <c r="Q52" i="9"/>
  <c r="R52" i="9"/>
  <c r="S52" i="9"/>
  <c r="T52" i="9"/>
  <c r="U52" i="9"/>
  <c r="V52" i="9"/>
  <c r="W52" i="9"/>
  <c r="X52" i="9"/>
  <c r="Y52" i="9"/>
  <c r="Z52" i="9"/>
  <c r="AA52" i="9"/>
  <c r="AB52" i="9"/>
  <c r="AC52" i="9"/>
  <c r="E13" i="11" l="1"/>
  <c r="E8" i="11"/>
  <c r="E7" i="11"/>
  <c r="F10" i="10"/>
  <c r="F9" i="10"/>
  <c r="Q4" i="2"/>
  <c r="E9" i="11" l="1"/>
  <c r="J4" i="10"/>
  <c r="K6" i="10"/>
  <c r="E10" i="11" l="1"/>
  <c r="E14" i="11" s="1"/>
  <c r="K4" i="10"/>
  <c r="J32" i="10"/>
  <c r="J30" i="10"/>
  <c r="J28" i="10"/>
  <c r="J26" i="10"/>
  <c r="J24" i="10"/>
  <c r="J22" i="10"/>
  <c r="J20" i="10"/>
  <c r="J18" i="10"/>
  <c r="J16" i="10"/>
  <c r="J14" i="10"/>
  <c r="J12" i="10"/>
  <c r="J10" i="10"/>
  <c r="J8" i="10"/>
  <c r="J6" i="10"/>
  <c r="K33" i="10"/>
  <c r="K31" i="10"/>
  <c r="K29" i="10"/>
  <c r="K27" i="10"/>
  <c r="K25" i="10"/>
  <c r="K23" i="10"/>
  <c r="K21" i="10"/>
  <c r="K19" i="10"/>
  <c r="K17" i="10"/>
  <c r="K15" i="10"/>
  <c r="K13" i="10"/>
  <c r="K11" i="10"/>
  <c r="K9" i="10"/>
  <c r="K7" i="10"/>
  <c r="K5" i="10"/>
  <c r="J33" i="10"/>
  <c r="J31" i="10"/>
  <c r="J29" i="10"/>
  <c r="J27" i="10"/>
  <c r="J25" i="10"/>
  <c r="J23" i="10"/>
  <c r="J21" i="10"/>
  <c r="J19" i="10"/>
  <c r="J17" i="10"/>
  <c r="J15" i="10"/>
  <c r="J13" i="10"/>
  <c r="J11" i="10"/>
  <c r="J9" i="10"/>
  <c r="J7" i="10"/>
  <c r="J5" i="10"/>
  <c r="K32" i="10"/>
  <c r="K30" i="10"/>
  <c r="K28" i="10"/>
  <c r="K26" i="10"/>
  <c r="K24" i="10"/>
  <c r="K22" i="10"/>
  <c r="K20" i="10"/>
  <c r="K18" i="10"/>
  <c r="K16" i="10"/>
  <c r="K14" i="10"/>
  <c r="K12" i="10"/>
  <c r="K10" i="10"/>
  <c r="K8" i="10"/>
  <c r="Z10" i="9" l="1"/>
  <c r="V3" i="9"/>
  <c r="R30" i="9"/>
  <c r="AB24" i="9"/>
  <c r="X29" i="9"/>
  <c r="W18" i="9"/>
  <c r="T29" i="9"/>
  <c r="S31" i="9"/>
  <c r="Q3" i="9"/>
  <c r="AB32" i="9"/>
  <c r="T31" i="9"/>
  <c r="AB30" i="9"/>
  <c r="T30" i="9"/>
  <c r="S30" i="9"/>
  <c r="AB29" i="9"/>
  <c r="Y29" i="9"/>
  <c r="Q29" i="9"/>
  <c r="X28" i="9"/>
  <c r="Q28" i="9"/>
  <c r="T26" i="9"/>
  <c r="AC25" i="9"/>
  <c r="Q25" i="9"/>
  <c r="Y23" i="9"/>
  <c r="S22" i="9"/>
  <c r="Q22" i="9"/>
  <c r="T21" i="9"/>
  <c r="X20" i="9"/>
  <c r="T20" i="9"/>
  <c r="AC19" i="9"/>
  <c r="T19" i="9"/>
  <c r="Y18" i="9"/>
  <c r="T18" i="9"/>
  <c r="X17" i="9"/>
  <c r="T17" i="9"/>
  <c r="AB16" i="9"/>
  <c r="T16" i="9"/>
  <c r="T15" i="9"/>
  <c r="AB14" i="9"/>
  <c r="Q14" i="9"/>
  <c r="T13" i="9"/>
  <c r="X12" i="9"/>
  <c r="T12" i="9"/>
  <c r="AC11" i="9"/>
  <c r="T11" i="9"/>
  <c r="T10" i="9"/>
  <c r="Y9" i="9"/>
  <c r="T9" i="9"/>
  <c r="AB8" i="9"/>
  <c r="T8" i="9"/>
  <c r="AB7" i="9"/>
  <c r="Y7" i="9"/>
  <c r="W7" i="9"/>
  <c r="T7" i="9"/>
  <c r="Q7" i="9"/>
  <c r="Y6" i="9"/>
  <c r="T6" i="9"/>
  <c r="AB5" i="9"/>
  <c r="Y5" i="9"/>
  <c r="Q5" i="9"/>
  <c r="Y4" i="9"/>
  <c r="X4" i="9"/>
  <c r="T4" i="9"/>
  <c r="AC3" i="9"/>
  <c r="Z3" i="9"/>
  <c r="R10" i="9" l="1"/>
  <c r="R21" i="9"/>
  <c r="S29" i="9"/>
  <c r="S32" i="9"/>
  <c r="S9" i="9"/>
  <c r="V14" i="9"/>
  <c r="S18" i="9"/>
  <c r="S28" i="9"/>
  <c r="S8" i="9"/>
  <c r="Z12" i="9"/>
  <c r="S17" i="9"/>
  <c r="Q32" i="9"/>
  <c r="R6" i="9"/>
  <c r="S10" i="9"/>
  <c r="Z15" i="9"/>
  <c r="S21" i="9"/>
  <c r="V22" i="9"/>
  <c r="S24" i="9"/>
  <c r="V28" i="9"/>
  <c r="AA14" i="9"/>
  <c r="S3" i="9"/>
  <c r="S5" i="9"/>
  <c r="S6" i="9"/>
  <c r="S7" i="9"/>
  <c r="Z8" i="9"/>
  <c r="W9" i="9"/>
  <c r="R15" i="9"/>
  <c r="S23" i="9"/>
  <c r="S27" i="9"/>
  <c r="R8" i="9"/>
  <c r="S14" i="9"/>
  <c r="S15" i="9"/>
  <c r="R18" i="9"/>
  <c r="S19" i="9"/>
  <c r="W23" i="9"/>
  <c r="S25" i="9"/>
  <c r="R32" i="9"/>
  <c r="V23" i="9"/>
  <c r="Z19" i="9"/>
  <c r="Y15" i="9"/>
  <c r="AC20" i="9"/>
  <c r="R3" i="9"/>
  <c r="Y3" i="9"/>
  <c r="Q4" i="9"/>
  <c r="Q54" i="9" s="1"/>
  <c r="R5" i="9"/>
  <c r="Z5" i="9"/>
  <c r="Z6" i="9"/>
  <c r="Z7" i="9"/>
  <c r="Z9" i="9"/>
  <c r="Q11" i="9"/>
  <c r="V11" i="9"/>
  <c r="Q12" i="9"/>
  <c r="V12" i="9"/>
  <c r="Q13" i="9"/>
  <c r="Y13" i="9"/>
  <c r="R14" i="9"/>
  <c r="Q16" i="9"/>
  <c r="Y17" i="9"/>
  <c r="Z18" i="9"/>
  <c r="Q20" i="9"/>
  <c r="R22" i="9"/>
  <c r="Y22" i="9"/>
  <c r="T23" i="9"/>
  <c r="Z23" i="9"/>
  <c r="T24" i="9"/>
  <c r="R25" i="9"/>
  <c r="Q26" i="9"/>
  <c r="Z26" i="9"/>
  <c r="T27" i="9"/>
  <c r="R28" i="9"/>
  <c r="R29" i="9"/>
  <c r="Z29" i="9"/>
  <c r="Q31" i="9"/>
  <c r="Y31" i="9"/>
  <c r="T32" i="9"/>
  <c r="AA30" i="9"/>
  <c r="R4" i="9"/>
  <c r="Q9" i="9"/>
  <c r="AC9" i="9"/>
  <c r="R11" i="9"/>
  <c r="Y11" i="9"/>
  <c r="R12" i="9"/>
  <c r="R13" i="9"/>
  <c r="Z13" i="9"/>
  <c r="AC14" i="9"/>
  <c r="R16" i="9"/>
  <c r="Q17" i="9"/>
  <c r="V17" i="9"/>
  <c r="V55" i="9" s="1"/>
  <c r="Z17" i="9"/>
  <c r="Q19" i="9"/>
  <c r="V19" i="9"/>
  <c r="R20" i="9"/>
  <c r="Y20" i="9"/>
  <c r="Q23" i="9"/>
  <c r="Q24" i="9"/>
  <c r="Z24" i="9"/>
  <c r="R26" i="9"/>
  <c r="Q27" i="9"/>
  <c r="V27" i="9"/>
  <c r="Y28" i="9"/>
  <c r="R31" i="9"/>
  <c r="Z31" i="9"/>
  <c r="T3" i="9"/>
  <c r="AB3" i="9"/>
  <c r="S4" i="9"/>
  <c r="Z4" i="9"/>
  <c r="Z54" i="9" s="1"/>
  <c r="T5" i="9"/>
  <c r="Q6" i="9"/>
  <c r="V6" i="9"/>
  <c r="R7" i="9"/>
  <c r="X7" i="9"/>
  <c r="Q8" i="9"/>
  <c r="Y8" i="9"/>
  <c r="R9" i="9"/>
  <c r="X9" i="9"/>
  <c r="Q10" i="9"/>
  <c r="Y10" i="9"/>
  <c r="S11" i="9"/>
  <c r="Z11" i="9"/>
  <c r="S12" i="9"/>
  <c r="Y12" i="9"/>
  <c r="S13" i="9"/>
  <c r="AB13" i="9"/>
  <c r="T14" i="9"/>
  <c r="Q15" i="9"/>
  <c r="S16" i="9"/>
  <c r="R17" i="9"/>
  <c r="W17" i="9"/>
  <c r="Q18" i="9"/>
  <c r="X18" i="9"/>
  <c r="R19" i="9"/>
  <c r="AB19" i="9"/>
  <c r="S20" i="9"/>
  <c r="Q21" i="9"/>
  <c r="AB21" i="9"/>
  <c r="T22" i="9"/>
  <c r="R23" i="9"/>
  <c r="X23" i="9"/>
  <c r="R24" i="9"/>
  <c r="T25" i="9"/>
  <c r="S26" i="9"/>
  <c r="R27" i="9"/>
  <c r="AC27" i="9"/>
  <c r="T28" i="9"/>
  <c r="Z28" i="9"/>
  <c r="Q30" i="9"/>
  <c r="V30" i="9"/>
  <c r="U28" i="9"/>
  <c r="Y24" i="9"/>
  <c r="AB25" i="9"/>
  <c r="U6" i="9"/>
  <c r="AA8" i="9"/>
  <c r="W12" i="9"/>
  <c r="U22" i="9"/>
  <c r="AA24" i="9"/>
  <c r="W28" i="9"/>
  <c r="AC30" i="9"/>
  <c r="AA29" i="9"/>
  <c r="AA18" i="9"/>
  <c r="AC13" i="9"/>
  <c r="V16" i="9"/>
  <c r="AB18" i="9"/>
  <c r="U21" i="9"/>
  <c r="X22" i="9"/>
  <c r="AA23" i="9"/>
  <c r="W27" i="9"/>
  <c r="AC29" i="9"/>
  <c r="V32" i="9"/>
  <c r="W22" i="9"/>
  <c r="AC18" i="9"/>
  <c r="V21" i="9"/>
  <c r="AB23" i="9"/>
  <c r="U26" i="9"/>
  <c r="X27" i="9"/>
  <c r="AA28" i="9"/>
  <c r="W32" i="9"/>
  <c r="U32" i="9"/>
  <c r="V5" i="9"/>
  <c r="X11" i="9"/>
  <c r="W5" i="9"/>
  <c r="AC7" i="9"/>
  <c r="V10" i="9"/>
  <c r="AB12" i="9"/>
  <c r="U15" i="9"/>
  <c r="X16" i="9"/>
  <c r="AA17" i="9"/>
  <c r="W21" i="9"/>
  <c r="Z22" i="9"/>
  <c r="AC23" i="9"/>
  <c r="V26" i="9"/>
  <c r="Y27" i="9"/>
  <c r="AB28" i="9"/>
  <c r="U31" i="9"/>
  <c r="X32" i="9"/>
  <c r="AA19" i="9"/>
  <c r="U27" i="9"/>
  <c r="AC8" i="9"/>
  <c r="U16" i="9"/>
  <c r="U5" i="9"/>
  <c r="AA7" i="9"/>
  <c r="U4" i="9"/>
  <c r="X5" i="9"/>
  <c r="AA6" i="9"/>
  <c r="W10" i="9"/>
  <c r="AC12" i="9"/>
  <c r="V15" i="9"/>
  <c r="Y16" i="9"/>
  <c r="AB17" i="9"/>
  <c r="U20" i="9"/>
  <c r="X21" i="9"/>
  <c r="AA22" i="9"/>
  <c r="W26" i="9"/>
  <c r="Z27" i="9"/>
  <c r="AC28" i="9"/>
  <c r="V31" i="9"/>
  <c r="Y32" i="9"/>
  <c r="U17" i="9"/>
  <c r="U11" i="9"/>
  <c r="W6" i="9"/>
  <c r="AC24" i="9"/>
  <c r="U10" i="9"/>
  <c r="V4" i="9"/>
  <c r="V54" i="9" s="1"/>
  <c r="AB6" i="9"/>
  <c r="U9" i="9"/>
  <c r="X10" i="9"/>
  <c r="AA11" i="9"/>
  <c r="W15" i="9"/>
  <c r="Z16" i="9"/>
  <c r="AC17" i="9"/>
  <c r="V20" i="9"/>
  <c r="Y21" i="9"/>
  <c r="AB22" i="9"/>
  <c r="U25" i="9"/>
  <c r="X26" i="9"/>
  <c r="AA27" i="9"/>
  <c r="W31" i="9"/>
  <c r="Z32" i="9"/>
  <c r="AA13" i="9"/>
  <c r="X6" i="9"/>
  <c r="W11" i="9"/>
  <c r="AA12" i="9"/>
  <c r="W16" i="9"/>
  <c r="W4" i="9"/>
  <c r="AC6" i="9"/>
  <c r="V9" i="9"/>
  <c r="AB11" i="9"/>
  <c r="U14" i="9"/>
  <c r="X15" i="9"/>
  <c r="AA16" i="9"/>
  <c r="W20" i="9"/>
  <c r="Z21" i="9"/>
  <c r="AC22" i="9"/>
  <c r="V25" i="9"/>
  <c r="Y26" i="9"/>
  <c r="AB27" i="9"/>
  <c r="U30" i="9"/>
  <c r="X31" i="9"/>
  <c r="AA32" i="9"/>
  <c r="AA5" i="9"/>
  <c r="U19" i="9"/>
  <c r="AA10" i="9"/>
  <c r="AA26" i="9"/>
  <c r="W3" i="9"/>
  <c r="AC5" i="9"/>
  <c r="V8" i="9"/>
  <c r="AB10" i="9"/>
  <c r="U13" i="9"/>
  <c r="X14" i="9"/>
  <c r="AA15" i="9"/>
  <c r="W19" i="9"/>
  <c r="Z20" i="9"/>
  <c r="AC21" i="9"/>
  <c r="V24" i="9"/>
  <c r="Y25" i="9"/>
  <c r="AB26" i="9"/>
  <c r="U29" i="9"/>
  <c r="X30" i="9"/>
  <c r="AA31" i="9"/>
  <c r="AA21" i="9"/>
  <c r="W25" i="9"/>
  <c r="X3" i="9"/>
  <c r="AA4" i="9"/>
  <c r="W8" i="9"/>
  <c r="AC10" i="9"/>
  <c r="V13" i="9"/>
  <c r="Y14" i="9"/>
  <c r="AB15" i="9"/>
  <c r="U18" i="9"/>
  <c r="X19" i="9"/>
  <c r="AA20" i="9"/>
  <c r="W24" i="9"/>
  <c r="Z25" i="9"/>
  <c r="AC26" i="9"/>
  <c r="V29" i="9"/>
  <c r="Y30" i="9"/>
  <c r="AB31" i="9"/>
  <c r="AA3" i="9"/>
  <c r="X25" i="9"/>
  <c r="W30" i="9"/>
  <c r="AB4" i="9"/>
  <c r="U7" i="9"/>
  <c r="X8" i="9"/>
  <c r="AA9" i="9"/>
  <c r="W13" i="9"/>
  <c r="Z14" i="9"/>
  <c r="AC15" i="9"/>
  <c r="V18" i="9"/>
  <c r="Y19" i="9"/>
  <c r="AB20" i="9"/>
  <c r="U23" i="9"/>
  <c r="X24" i="9"/>
  <c r="AA25" i="9"/>
  <c r="W29" i="9"/>
  <c r="Z30" i="9"/>
  <c r="AC31" i="9"/>
  <c r="U3" i="9"/>
  <c r="U8" i="9"/>
  <c r="W14" i="9"/>
  <c r="AC16" i="9"/>
  <c r="U24" i="9"/>
  <c r="AC32" i="9"/>
  <c r="AC4" i="9"/>
  <c r="AC54" i="9" s="1"/>
  <c r="V7" i="9"/>
  <c r="AB9" i="9"/>
  <c r="U12" i="9"/>
  <c r="X13" i="9"/>
  <c r="T54" i="9" l="1"/>
  <c r="T55" i="9"/>
  <c r="Y54" i="9"/>
  <c r="Y55" i="9"/>
  <c r="Q55" i="9"/>
  <c r="U54" i="9"/>
  <c r="U55" i="9"/>
  <c r="W54" i="9"/>
  <c r="W55" i="9"/>
  <c r="R54" i="9"/>
  <c r="R55" i="9"/>
  <c r="Z55" i="9"/>
  <c r="AC55" i="9"/>
  <c r="AB55" i="9"/>
  <c r="AB54" i="9"/>
  <c r="AA54" i="9"/>
  <c r="AA55" i="9"/>
  <c r="X54" i="9"/>
  <c r="X55" i="9"/>
  <c r="S54" i="9"/>
  <c r="S55" i="9"/>
  <c r="A16" i="2" l="1"/>
  <c r="B16" i="2" s="1"/>
  <c r="C16" i="2" s="1"/>
  <c r="D16" i="2"/>
  <c r="B15" i="2"/>
  <c r="C15" i="2"/>
  <c r="D15" i="2"/>
  <c r="E15" i="2"/>
  <c r="F15" i="2"/>
  <c r="G15" i="2"/>
  <c r="H15" i="2"/>
  <c r="I15" i="2"/>
  <c r="J15" i="2"/>
  <c r="K15" i="2"/>
  <c r="L15" i="2"/>
  <c r="M15" i="2"/>
  <c r="A15" i="2"/>
  <c r="H33" i="7" l="1"/>
  <c r="E16" i="2"/>
  <c r="F16" i="2" s="1"/>
  <c r="G16" i="2" s="1"/>
  <c r="H16" i="2" s="1"/>
  <c r="I16" i="2" s="1"/>
  <c r="J16" i="2" s="1"/>
  <c r="K16" i="2" s="1"/>
  <c r="L16" i="2" s="1"/>
  <c r="M16" i="2" s="1"/>
  <c r="H11" i="7"/>
  <c r="H22" i="7"/>
  <c r="H16" i="7"/>
  <c r="H31" i="7"/>
  <c r="H14" i="7"/>
  <c r="H21" i="7"/>
  <c r="H20" i="7"/>
  <c r="H8" i="7"/>
  <c r="H6" i="7"/>
  <c r="H15" i="7"/>
  <c r="H25" i="7"/>
  <c r="H7" i="7"/>
  <c r="H27" i="7"/>
  <c r="H26" i="7"/>
  <c r="H18" i="7"/>
  <c r="H30" i="7"/>
  <c r="H23" i="7"/>
  <c r="H28" i="7"/>
  <c r="H17" i="7"/>
  <c r="H24" i="7"/>
  <c r="H10" i="7"/>
  <c r="H32" i="7"/>
  <c r="H13" i="7"/>
  <c r="H29" i="7"/>
  <c r="H9" i="7"/>
  <c r="H19" i="7"/>
  <c r="H12" i="7"/>
  <c r="Q7" i="2" l="1"/>
  <c r="Q11" i="2"/>
  <c r="Q15" i="2"/>
  <c r="Q13" i="2"/>
  <c r="Q6" i="2"/>
  <c r="Q10" i="2"/>
  <c r="Q14" i="2"/>
  <c r="Q8" i="2"/>
  <c r="Q12" i="2"/>
  <c r="Q16" i="2"/>
  <c r="Q5" i="2"/>
  <c r="Q9" i="2"/>
  <c r="O56" i="8" l="1"/>
  <c r="O80" i="8"/>
  <c r="O57" i="8"/>
  <c r="O78" i="8"/>
  <c r="O58" i="8"/>
  <c r="O81" i="8"/>
  <c r="O85" i="8"/>
  <c r="O71" i="8"/>
  <c r="O61" i="8"/>
  <c r="O79" i="8"/>
  <c r="O74" i="8"/>
  <c r="O76" i="8"/>
  <c r="O82" i="8"/>
  <c r="O63" i="8"/>
  <c r="O66" i="8"/>
  <c r="O68" i="8"/>
  <c r="O59" i="8"/>
  <c r="O72" i="8"/>
  <c r="O69" i="8"/>
  <c r="O67" i="8"/>
  <c r="O73" i="8"/>
  <c r="O62" i="8"/>
  <c r="O70" i="8"/>
  <c r="O75" i="8"/>
  <c r="O77" i="8"/>
  <c r="O60" i="8"/>
  <c r="O84" i="8"/>
  <c r="O64" i="8"/>
  <c r="O65" i="8"/>
  <c r="O83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<sst xmlns="http://schemas.openxmlformats.org/spreadsheetml/2006/main" count="71" uniqueCount="49">
  <si>
    <t>Sample</t>
  </si>
  <si>
    <t>eigenvalue</t>
  </si>
  <si>
    <t>max</t>
  </si>
  <si>
    <t xml:space="preserve">Normalized </t>
  </si>
  <si>
    <t>Samples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</si>
  <si>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</si>
  <si>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</si>
  <si>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</si>
  <si>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</si>
  <si>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</si>
  <si>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</si>
  <si>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</si>
  <si>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</si>
  <si>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</si>
  <si>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</si>
  <si>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</si>
  <si>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</si>
  <si>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</si>
  <si>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avg</t>
  </si>
  <si>
    <t>std</t>
  </si>
  <si>
    <t>PC</t>
  </si>
  <si>
    <t>T2</t>
  </si>
  <si>
    <t>STEP 4</t>
  </si>
  <si>
    <t>A=</t>
  </si>
  <si>
    <t>T^2</t>
  </si>
  <si>
    <t xml:space="preserve">Control limit </t>
  </si>
  <si>
    <t>Warning limit</t>
  </si>
  <si>
    <t>n=</t>
  </si>
  <si>
    <t>a=</t>
  </si>
  <si>
    <t>0.05,0.01</t>
  </si>
  <si>
    <t>From F distribution</t>
  </si>
  <si>
    <t>T^2 Limit</t>
  </si>
  <si>
    <t>F5,26,0.05=</t>
  </si>
  <si>
    <t>Control limit</t>
  </si>
  <si>
    <t>F5,26,0.01=</t>
  </si>
  <si>
    <t>Eigenvalues</t>
  </si>
  <si>
    <t>SPE</t>
  </si>
  <si>
    <t>=&gt; Selected eigenvector based on thresold</t>
  </si>
  <si>
    <t>X̆</t>
  </si>
  <si>
    <t>X</t>
  </si>
  <si>
    <t xml:space="preserve"> Selected Eigenvalues</t>
  </si>
  <si>
    <t>E = X̆ - X̂</t>
  </si>
  <si>
    <t>E = X̆ - PVt</t>
  </si>
  <si>
    <t>PVt = Multivariate Scores x Transposed Selected Eigenvectors</t>
  </si>
  <si>
    <t>=&gt; Shows the magnitude of deviation from centre of multivariate data</t>
  </si>
  <si>
    <t>=&gt; Conceptually measures the consistency of correlation among variables analyzed</t>
  </si>
  <si>
    <t>Transposed Selected Eigenvector (Copy-Paste as Trasnposed)</t>
  </si>
  <si>
    <t>PHASE 2: On-line Monitoring</t>
  </si>
  <si>
    <t>Note: Grey statements are steps occurred in Phase 1 and no changes are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</si>
</sst>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3" borderId="0" xfId="0" applyFont="1" applyFill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1" xfId="0" applyFill="1" applyBorder="1"/>
    <xf numFmtId="0" fontId="0" fillId="5" borderId="1" xfId="0" applyFill="1" applyBorder="1"/>
    <xf numFmtId="0" fontId="0" fillId="4" borderId="1" xfId="0" applyFill="1" applyBorder="1"/>
    <xf numFmtId="9" fontId="0" fillId="5" borderId="1" xfId="0" applyNumberFormat="1" applyFill="1" applyBorder="1"/>
    <xf numFmtId="9" fontId="0" fillId="5" borderId="0" xfId="0" applyNumberFormat="1" applyFill="1"/>
    <xf numFmtId="9" fontId="0" fillId="0" borderId="1" xfId="0" applyNumberFormat="1" applyBorder="1" applyAlignment="1">
      <alignment horizontal="center"/>
    </xf>
    <xf numFmtId="0" fontId="0" fillId="0" borderId="0" xfId="0" quotePrefix="1"/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Fill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9" fillId="7" borderId="0" xfId="0" applyFont="1" applyFill="1"/>
    <xf numFmtId="0" fontId="10" fillId="7" borderId="0" xfId="0" applyFont="1" applyFill="1"/>
    <xf numFmtId="0" fontId="6" fillId="0" borderId="0" xfId="0" quotePrefix="1" applyFont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PCA BASED MSPM MONITORING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'Step 8 - T2'!$I$3</c:f>
              <c:strCache>
                <c:ptCount val="1"/>
                <c:pt idx="0">
                  <c:v>T^2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'Step 8 - T2'!$H$4:$H$53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'Step 8 - T2'!$I$4:$I$53</c:f>
              <c:numCache>
                <c:formatCode>General</c:formatCode>
                <c:ptCount val="50"/>
                <c:pt idx="0">
                  <c:v>0.29967317084861328</c:v>
                </c:pt>
                <c:pt idx="1">
                  <c:v>0.29967317084861328</c:v>
                </c:pt>
                <c:pt idx="2">
                  <c:v>0.34853768662753037</c:v>
                </c:pt>
                <c:pt idx="3">
                  <c:v>0.32205514618240716</c:v>
                </c:pt>
                <c:pt idx="4">
                  <c:v>0.34238602364484183</c:v>
                </c:pt>
                <c:pt idx="5">
                  <c:v>0.33314461926558797</c:v>
                </c:pt>
                <c:pt idx="6">
                  <c:v>0.33567142786015924</c:v>
                </c:pt>
                <c:pt idx="7">
                  <c:v>0.3474389461893721</c:v>
                </c:pt>
                <c:pt idx="8">
                  <c:v>0.36540494183636946</c:v>
                </c:pt>
                <c:pt idx="9">
                  <c:v>0.41169024022309991</c:v>
                </c:pt>
                <c:pt idx="10">
                  <c:v>0.47604397739962834</c:v>
                </c:pt>
                <c:pt idx="11">
                  <c:v>0.57117021982183069</c:v>
                </c:pt>
                <c:pt idx="12">
                  <c:v>0.69932779027446867</c:v>
                </c:pt>
                <c:pt idx="13">
                  <c:v>0.86626090839292447</c:v>
                </c:pt>
                <c:pt idx="14">
                  <c:v>1.0719765101248564</c:v>
                </c:pt>
                <c:pt idx="15">
                  <c:v>1.3271497713421734</c:v>
                </c:pt>
                <c:pt idx="16">
                  <c:v>1.6256700297900231</c:v>
                </c:pt>
                <c:pt idx="17">
                  <c:v>1.9721693853734761</c:v>
                </c:pt>
                <c:pt idx="18">
                  <c:v>2.3751735388441051</c:v>
                </c:pt>
                <c:pt idx="19">
                  <c:v>2.8295922468226378</c:v>
                </c:pt>
                <c:pt idx="20">
                  <c:v>3.3423005943280613</c:v>
                </c:pt>
                <c:pt idx="21">
                  <c:v>3.9031183873389916</c:v>
                </c:pt>
                <c:pt idx="22">
                  <c:v>4.5290902341661283</c:v>
                </c:pt>
                <c:pt idx="23">
                  <c:v>5.2134350131250748</c:v>
                </c:pt>
                <c:pt idx="24">
                  <c:v>5.9491178462788712</c:v>
                </c:pt>
                <c:pt idx="25">
                  <c:v>6.7504605020672006</c:v>
                </c:pt>
                <c:pt idx="26">
                  <c:v>7.6133824407945516</c:v>
                </c:pt>
                <c:pt idx="27">
                  <c:v>8.5308316789730494</c:v>
                </c:pt>
                <c:pt idx="28">
                  <c:v>9.5085935999522064</c:v>
                </c:pt>
                <c:pt idx="29">
                  <c:v>10.556966095265221</c:v>
                </c:pt>
                <c:pt idx="30">
                  <c:v>11.650089903010432</c:v>
                </c:pt>
                <c:pt idx="31">
                  <c:v>12.817218620408756</c:v>
                </c:pt>
                <c:pt idx="32">
                  <c:v>14.046527345825218</c:v>
                </c:pt>
                <c:pt idx="33">
                  <c:v>15.328198541991508</c:v>
                </c:pt>
                <c:pt idx="34">
                  <c:v>16.680553093483951</c:v>
                </c:pt>
                <c:pt idx="35">
                  <c:v>18.084199459936542</c:v>
                </c:pt>
                <c:pt idx="36">
                  <c:v>19.545683049103101</c:v>
                </c:pt>
                <c:pt idx="37">
                  <c:v>21.070193274357734</c:v>
                </c:pt>
                <c:pt idx="38">
                  <c:v>22.652984475836789</c:v>
                </c:pt>
                <c:pt idx="39">
                  <c:v>24.321739480992012</c:v>
                </c:pt>
                <c:pt idx="40">
                  <c:v>26.024121090933118</c:v>
                </c:pt>
                <c:pt idx="41">
                  <c:v>27.782336869777108</c:v>
                </c:pt>
                <c:pt idx="42">
                  <c:v>29.629471484184933</c:v>
                </c:pt>
                <c:pt idx="43">
                  <c:v>31.510444259621039</c:v>
                </c:pt>
                <c:pt idx="44">
                  <c:v>33.474087983640658</c:v>
                </c:pt>
                <c:pt idx="45">
                  <c:v>35.479405923062082</c:v>
                </c:pt>
                <c:pt idx="46">
                  <c:v>37.562130760832254</c:v>
                </c:pt>
                <c:pt idx="47">
                  <c:v>39.68266491928852</c:v>
                </c:pt>
                <c:pt idx="48">
                  <c:v>41.887894359378343</c:v>
                </c:pt>
                <c:pt idx="49">
                  <c:v>44.160951307545865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C0-426B-948E-80A634E6F1AC}"/>
            </c:ext>
          </c:extLst>
        </c:ser>
        <c:ser>
          <c:idx val="1"/>
          <c:order val="1"/>
          <c:tx>
            <c:strRef>
              <c:f>'Step 8 - T2'!$J$3</c:f>
              <c:strCache>
                <c:ptCount val="1"/>
                <c:pt idx="0">
                  <c:v>Control limit 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'Step 8 - T2'!$H$4:$H$53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'Step 8 - T2'!$J$4:$J$53</c:f>
              <c:numCache>
                <c:formatCode>General</c:formatCode>
                <c:ptCount val="50"/>
                <c:pt idx="0">
                  <c:v>22.919999999999998</c:v>
                </c:pt>
                <c:pt idx="1">
                  <c:v>22.919999999999998</c:v>
                </c:pt>
                <c:pt idx="2">
                  <c:v>22.919999999999998</c:v>
                </c:pt>
                <c:pt idx="3">
                  <c:v>22.919999999999998</c:v>
                </c:pt>
                <c:pt idx="4">
                  <c:v>22.919999999999998</c:v>
                </c:pt>
                <c:pt idx="5">
                  <c:v>22.919999999999998</c:v>
                </c:pt>
                <c:pt idx="6">
                  <c:v>22.919999999999998</c:v>
                </c:pt>
                <c:pt idx="7">
                  <c:v>22.919999999999998</c:v>
                </c:pt>
                <c:pt idx="8">
                  <c:v>22.919999999999998</c:v>
                </c:pt>
                <c:pt idx="9">
                  <c:v>22.919999999999998</c:v>
                </c:pt>
                <c:pt idx="10">
                  <c:v>22.919999999999998</c:v>
                </c:pt>
                <c:pt idx="11">
                  <c:v>22.919999999999998</c:v>
                </c:pt>
                <c:pt idx="12">
                  <c:v>22.919999999999998</c:v>
                </c:pt>
                <c:pt idx="13">
                  <c:v>22.919999999999998</c:v>
                </c:pt>
                <c:pt idx="14">
                  <c:v>22.919999999999998</c:v>
                </c:pt>
                <c:pt idx="15">
                  <c:v>22.919999999999998</c:v>
                </c:pt>
                <c:pt idx="16">
                  <c:v>22.919999999999998</c:v>
                </c:pt>
                <c:pt idx="17">
                  <c:v>22.919999999999998</c:v>
                </c:pt>
                <c:pt idx="18">
                  <c:v>22.919999999999998</c:v>
                </c:pt>
                <c:pt idx="19">
                  <c:v>22.919999999999998</c:v>
                </c:pt>
                <c:pt idx="20">
                  <c:v>22.919999999999998</c:v>
                </c:pt>
                <c:pt idx="21">
                  <c:v>22.919999999999998</c:v>
                </c:pt>
                <c:pt idx="22">
                  <c:v>22.919999999999998</c:v>
                </c:pt>
                <c:pt idx="23">
                  <c:v>22.919999999999998</c:v>
                </c:pt>
                <c:pt idx="24">
                  <c:v>22.919999999999998</c:v>
                </c:pt>
                <c:pt idx="25">
                  <c:v>22.919999999999998</c:v>
                </c:pt>
                <c:pt idx="26">
                  <c:v>22.919999999999998</c:v>
                </c:pt>
                <c:pt idx="27">
                  <c:v>22.919999999999998</c:v>
                </c:pt>
                <c:pt idx="28">
                  <c:v>22.919999999999998</c:v>
                </c:pt>
                <c:pt idx="29">
                  <c:v>22.919999999999998</c:v>
                </c:pt>
                <c:pt idx="30">
                  <c:v>22.919999999999998</c:v>
                </c:pt>
                <c:pt idx="31">
                  <c:v>22.919999999999998</c:v>
                </c:pt>
                <c:pt idx="32">
                  <c:v>22.919999999999998</c:v>
                </c:pt>
                <c:pt idx="33">
                  <c:v>22.919999999999998</c:v>
                </c:pt>
                <c:pt idx="34">
                  <c:v>22.919999999999998</c:v>
                </c:pt>
                <c:pt idx="35">
                  <c:v>22.919999999999998</c:v>
                </c:pt>
                <c:pt idx="36">
                  <c:v>22.919999999999998</c:v>
                </c:pt>
                <c:pt idx="37">
                  <c:v>22.919999999999998</c:v>
                </c:pt>
                <c:pt idx="38">
                  <c:v>22.919999999999998</c:v>
                </c:pt>
                <c:pt idx="39">
                  <c:v>22.919999999999998</c:v>
                </c:pt>
                <c:pt idx="40">
                  <c:v>22.919999999999998</c:v>
                </c:pt>
                <c:pt idx="41">
                  <c:v>22.919999999999998</c:v>
                </c:pt>
                <c:pt idx="42">
                  <c:v>22.919999999999998</c:v>
                </c:pt>
                <c:pt idx="43">
                  <c:v>22.919999999999998</c:v>
                </c:pt>
                <c:pt idx="44">
                  <c:v>22.919999999999998</c:v>
                </c:pt>
                <c:pt idx="45">
                  <c:v>22.919999999999998</c:v>
                </c:pt>
                <c:pt idx="46">
                  <c:v>22.919999999999998</c:v>
                </c:pt>
                <c:pt idx="47">
                  <c:v>22.919999999999998</c:v>
                </c:pt>
                <c:pt idx="48">
                  <c:v>22.919999999999998</c:v>
                </c:pt>
                <c:pt idx="49">
                  <c:v>22.919999999999998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C0-426B-948E-80A634E6F1AC}"/>
            </c:ext>
          </c:extLst>
        </c:ser>
        <c:ser>
          <c:idx val="2"/>
          <c:order val="2"/>
          <c:tx>
            <c:strRef>
              <c:f>'Step 8 - T2'!$K$3</c:f>
              <c:strCache>
                <c:ptCount val="1"/>
                <c:pt idx="0">
                  <c:v>Warning limit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'Step 8 - T2'!$H$4:$H$53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'Step 8 - T2'!$K$4:$K$53</c:f>
              <c:numCache>
                <c:formatCode>General</c:formatCode>
                <c:ptCount val="50"/>
                <c:pt idx="0">
                  <c:v>15.54</c:v>
                </c:pt>
                <c:pt idx="1">
                  <c:v>15.54</c:v>
                </c:pt>
                <c:pt idx="2">
                  <c:v>15.54</c:v>
                </c:pt>
                <c:pt idx="3">
                  <c:v>15.54</c:v>
                </c:pt>
                <c:pt idx="4">
                  <c:v>15.54</c:v>
                </c:pt>
                <c:pt idx="5">
                  <c:v>15.54</c:v>
                </c:pt>
                <c:pt idx="6">
                  <c:v>15.54</c:v>
                </c:pt>
                <c:pt idx="7">
                  <c:v>15.54</c:v>
                </c:pt>
                <c:pt idx="8">
                  <c:v>15.54</c:v>
                </c:pt>
                <c:pt idx="9">
                  <c:v>15.54</c:v>
                </c:pt>
                <c:pt idx="10">
                  <c:v>15.54</c:v>
                </c:pt>
                <c:pt idx="11">
                  <c:v>15.54</c:v>
                </c:pt>
                <c:pt idx="12">
                  <c:v>15.54</c:v>
                </c:pt>
                <c:pt idx="13">
                  <c:v>15.54</c:v>
                </c:pt>
                <c:pt idx="14">
                  <c:v>15.54</c:v>
                </c:pt>
                <c:pt idx="15">
                  <c:v>15.54</c:v>
                </c:pt>
                <c:pt idx="16">
                  <c:v>15.54</c:v>
                </c:pt>
                <c:pt idx="17">
                  <c:v>15.54</c:v>
                </c:pt>
                <c:pt idx="18">
                  <c:v>15.54</c:v>
                </c:pt>
                <c:pt idx="19">
                  <c:v>15.54</c:v>
                </c:pt>
                <c:pt idx="20">
                  <c:v>15.54</c:v>
                </c:pt>
                <c:pt idx="21">
                  <c:v>15.54</c:v>
                </c:pt>
                <c:pt idx="22">
                  <c:v>15.54</c:v>
                </c:pt>
                <c:pt idx="23">
                  <c:v>15.54</c:v>
                </c:pt>
                <c:pt idx="24">
                  <c:v>15.54</c:v>
                </c:pt>
                <c:pt idx="25">
                  <c:v>15.54</c:v>
                </c:pt>
                <c:pt idx="26">
                  <c:v>15.54</c:v>
                </c:pt>
                <c:pt idx="27">
                  <c:v>15.54</c:v>
                </c:pt>
                <c:pt idx="28">
                  <c:v>15.54</c:v>
                </c:pt>
                <c:pt idx="29">
                  <c:v>15.54</c:v>
                </c:pt>
                <c:pt idx="30">
                  <c:v>15.54</c:v>
                </c:pt>
                <c:pt idx="31">
                  <c:v>15.54</c:v>
                </c:pt>
                <c:pt idx="32">
                  <c:v>15.54</c:v>
                </c:pt>
                <c:pt idx="33">
                  <c:v>15.54</c:v>
                </c:pt>
                <c:pt idx="34">
                  <c:v>15.54</c:v>
                </c:pt>
                <c:pt idx="35">
                  <c:v>15.54</c:v>
                </c:pt>
                <c:pt idx="36">
                  <c:v>15.54</c:v>
                </c:pt>
                <c:pt idx="37">
                  <c:v>15.54</c:v>
                </c:pt>
                <c:pt idx="38">
                  <c:v>15.54</c:v>
                </c:pt>
                <c:pt idx="39">
                  <c:v>15.54</c:v>
                </c:pt>
                <c:pt idx="40">
                  <c:v>15.54</c:v>
                </c:pt>
                <c:pt idx="41">
                  <c:v>15.54</c:v>
                </c:pt>
                <c:pt idx="42">
                  <c:v>15.54</c:v>
                </c:pt>
                <c:pt idx="43">
                  <c:v>15.54</c:v>
                </c:pt>
                <c:pt idx="44">
                  <c:v>15.54</c:v>
                </c:pt>
                <c:pt idx="45">
                  <c:v>15.54</c:v>
                </c:pt>
                <c:pt idx="46">
                  <c:v>15.54</c:v>
                </c:pt>
                <c:pt idx="47">
                  <c:v>15.54</c:v>
                </c:pt>
                <c:pt idx="48">
                  <c:v>15.54</c:v>
                </c:pt>
                <c:pt idx="49">
                  <c:v>15.54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EC0-426B-948E-80A634E6F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173647"/>
        <c:axId val="1759174063"/>
      </c:scatterChart>
      <c:valAx>
        <c:axId val="175917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74063"/>
        <c:crosses val="autoZero"/>
        <c:crossBetween val="midCat"/>
      </c:valAx>
      <c:valAx>
        <c:axId val="175917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T^2 Statistics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173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PCA BASED MSPM MONITORING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'Step 8 - SPE'!$I$6</c:f>
              <c:strCache>
                <c:ptCount val="1"/>
                <c:pt idx="0">
                  <c:v>SPE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'Step 8 - SPE'!$H$7:$H$56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'Step 8 - SPE'!$I$7:$I$56</c:f>
              <c:numCache>
                <c:formatCode>General</c:formatCode>
                <c:ptCount val="50"/>
                <c:pt idx="0">
                  <c:v>0.50952169225022514</c:v>
                </c:pt>
                <c:pt idx="1">
                  <c:v>0.50952169225022514</c:v>
                </c:pt>
                <c:pt idx="2">
                  <c:v>0.61139804313346668</c:v>
                </c:pt>
                <c:pt idx="3">
                  <c:v>0.77186029154450897</c:v>
                </c:pt>
                <c:pt idx="4">
                  <c:v>1.126346312291878</c:v>
                </c:pt>
                <c:pt idx="5">
                  <c:v>1.5850320202631463</c:v>
                </c:pt>
                <c:pt idx="6">
                  <c:v>2.2215697295013248</c:v>
                </c:pt>
                <c:pt idx="7">
                  <c:v>2.9887765782240807</c:v>
                </c:pt>
                <c:pt idx="8">
                  <c:v>3.9179005366242379</c:v>
                </c:pt>
                <c:pt idx="9">
                  <c:v>4.9922917302278647</c:v>
                </c:pt>
                <c:pt idx="10">
                  <c:v>6.2365082886377134</c:v>
                </c:pt>
                <c:pt idx="11">
                  <c:v>7.6269970894602483</c:v>
                </c:pt>
                <c:pt idx="12">
                  <c:v>9.2068507432636597</c:v>
                </c:pt>
                <c:pt idx="13">
                  <c:v>10.923471590977597</c:v>
                </c:pt>
                <c:pt idx="14">
                  <c:v>12.815762184501111</c:v>
                </c:pt>
                <c:pt idx="15">
                  <c:v>14.909643577920008</c:v>
                </c:pt>
                <c:pt idx="16">
                  <c:v>17.146000823428061</c:v>
                </c:pt>
                <c:pt idx="17">
                  <c:v>19.563543823069995</c:v>
                </c:pt>
                <c:pt idx="18">
                  <c:v>22.173944055604142</c:v>
                </c:pt>
                <c:pt idx="19">
                  <c:v>24.940629875769908</c:v>
                </c:pt>
                <c:pt idx="20">
                  <c:v>27.894993559419689</c:v>
                </c:pt>
                <c:pt idx="21">
                  <c:v>31.024706518774508</c:v>
                </c:pt>
                <c:pt idx="22">
                  <c:v>34.351088458410779</c:v>
                </c:pt>
                <c:pt idx="23">
                  <c:v>37.8287995822879</c:v>
                </c:pt>
                <c:pt idx="24">
                  <c:v>41.479528441130071</c:v>
                </c:pt>
                <c:pt idx="25">
                  <c:v>45.365611114917904</c:v>
                </c:pt>
                <c:pt idx="26">
                  <c:v>49.399491065894239</c:v>
                </c:pt>
                <c:pt idx="27">
                  <c:v>53.629758412425737</c:v>
                </c:pt>
                <c:pt idx="28">
                  <c:v>58.005126308602321</c:v>
                </c:pt>
                <c:pt idx="29">
                  <c:v>62.625961728248008</c:v>
                </c:pt>
                <c:pt idx="30">
                  <c:v>67.336984941105598</c:v>
                </c:pt>
                <c:pt idx="31">
                  <c:v>72.300306820814967</c:v>
                </c:pt>
                <c:pt idx="32">
                  <c:v>77.449985063618314</c:v>
                </c:pt>
                <c:pt idx="33">
                  <c:v>82.775481647268066</c:v>
                </c:pt>
                <c:pt idx="34">
                  <c:v>88.240829636773938</c:v>
                </c:pt>
                <c:pt idx="35">
                  <c:v>93.905104986199802</c:v>
                </c:pt>
                <c:pt idx="36">
                  <c:v>99.749280594708665</c:v>
                </c:pt>
                <c:pt idx="37">
                  <c:v>105.78420286491806</c:v>
                </c:pt>
                <c:pt idx="38">
                  <c:v>111.96388436231152</c:v>
                </c:pt>
                <c:pt idx="39">
                  <c:v>118.42177501602001</c:v>
                </c:pt>
                <c:pt idx="40">
                  <c:v>124.96257507032256</c:v>
                </c:pt>
                <c:pt idx="41">
                  <c:v>131.67969361026928</c:v>
                </c:pt>
                <c:pt idx="42">
                  <c:v>138.68323666777363</c:v>
                </c:pt>
                <c:pt idx="43">
                  <c:v>145.77682102608165</c:v>
                </c:pt>
                <c:pt idx="44">
                  <c:v>153.14423205351807</c:v>
                </c:pt>
                <c:pt idx="45">
                  <c:v>160.55618765955262</c:v>
                </c:pt>
                <c:pt idx="46">
                  <c:v>168.28692877156502</c:v>
                </c:pt>
                <c:pt idx="47">
                  <c:v>176.05443008392473</c:v>
                </c:pt>
                <c:pt idx="48">
                  <c:v>184.15242763284084</c:v>
                </c:pt>
                <c:pt idx="49">
                  <c:v>192.40244385529209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30-4688-8C53-71C4DECA6B65}"/>
            </c:ext>
          </c:extLst>
        </c:ser>
        <c:ser>
          <c:idx val="1"/>
          <c:order val="1"/>
          <c:tx>
            <c:strRef>
              <c:f>'Step 8 - SPE'!$J$6</c:f>
              <c:strCache>
                <c:ptCount val="1"/>
                <c:pt idx="0">
                  <c:v>Control limit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'Step 8 - SPE'!$H$7:$H$56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'Step 8 - SPE'!$J$7:$J$56</c:f>
              <c:numCache>
                <c:formatCode>General</c:formatCode>
                <c:ptCount val="50"/>
                <c:pt idx="0">
                  <c:v>11.775586555642477</c:v>
                </c:pt>
                <c:pt idx="1">
                  <c:v>11.775586555642477</c:v>
                </c:pt>
                <c:pt idx="2">
                  <c:v>11.775586555642477</c:v>
                </c:pt>
                <c:pt idx="3">
                  <c:v>11.775586555642477</c:v>
                </c:pt>
                <c:pt idx="4">
                  <c:v>11.775586555642477</c:v>
                </c:pt>
                <c:pt idx="5">
                  <c:v>11.775586555642477</c:v>
                </c:pt>
                <c:pt idx="6">
                  <c:v>11.775586555642477</c:v>
                </c:pt>
                <c:pt idx="7">
                  <c:v>11.775586555642477</c:v>
                </c:pt>
                <c:pt idx="8">
                  <c:v>11.775586555642477</c:v>
                </c:pt>
                <c:pt idx="9">
                  <c:v>11.775586555642477</c:v>
                </c:pt>
                <c:pt idx="10">
                  <c:v>11.775586555642477</c:v>
                </c:pt>
                <c:pt idx="11">
                  <c:v>11.775586555642477</c:v>
                </c:pt>
                <c:pt idx="12">
                  <c:v>11.775586555642477</c:v>
                </c:pt>
                <c:pt idx="13">
                  <c:v>11.775586555642477</c:v>
                </c:pt>
                <c:pt idx="14">
                  <c:v>11.775586555642477</c:v>
                </c:pt>
                <c:pt idx="15">
                  <c:v>11.775586555642477</c:v>
                </c:pt>
                <c:pt idx="16">
                  <c:v>11.775586555642477</c:v>
                </c:pt>
                <c:pt idx="17">
                  <c:v>11.775586555642477</c:v>
                </c:pt>
                <c:pt idx="18">
                  <c:v>11.775586555642477</c:v>
                </c:pt>
                <c:pt idx="19">
                  <c:v>11.775586555642477</c:v>
                </c:pt>
                <c:pt idx="20">
                  <c:v>11.775586555642477</c:v>
                </c:pt>
                <c:pt idx="21">
                  <c:v>11.775586555642477</c:v>
                </c:pt>
                <c:pt idx="22">
                  <c:v>11.775586555642477</c:v>
                </c:pt>
                <c:pt idx="23">
                  <c:v>11.775586555642477</c:v>
                </c:pt>
                <c:pt idx="24">
                  <c:v>11.775586555642477</c:v>
                </c:pt>
                <c:pt idx="25">
                  <c:v>11.775586555642477</c:v>
                </c:pt>
                <c:pt idx="26">
                  <c:v>11.775586555642477</c:v>
                </c:pt>
                <c:pt idx="27">
                  <c:v>11.775586555642477</c:v>
                </c:pt>
                <c:pt idx="28">
                  <c:v>11.775586555642477</c:v>
                </c:pt>
                <c:pt idx="29">
                  <c:v>11.775586555642477</c:v>
                </c:pt>
                <c:pt idx="30">
                  <c:v>11.775586555642477</c:v>
                </c:pt>
                <c:pt idx="31">
                  <c:v>11.775586555642477</c:v>
                </c:pt>
                <c:pt idx="32">
                  <c:v>11.775586555642477</c:v>
                </c:pt>
                <c:pt idx="33">
                  <c:v>11.775586555642477</c:v>
                </c:pt>
                <c:pt idx="34">
                  <c:v>11.775586555642477</c:v>
                </c:pt>
                <c:pt idx="35">
                  <c:v>11.775586555642477</c:v>
                </c:pt>
                <c:pt idx="36">
                  <c:v>11.775586555642477</c:v>
                </c:pt>
                <c:pt idx="37">
                  <c:v>11.775586555642477</c:v>
                </c:pt>
                <c:pt idx="38">
                  <c:v>11.775586555642477</c:v>
                </c:pt>
                <c:pt idx="39">
                  <c:v>11.775586555642477</c:v>
                </c:pt>
                <c:pt idx="40">
                  <c:v>11.775586555642477</c:v>
                </c:pt>
                <c:pt idx="41">
                  <c:v>11.775586555642477</c:v>
                </c:pt>
                <c:pt idx="42">
                  <c:v>11.775586555642477</c:v>
                </c:pt>
                <c:pt idx="43">
                  <c:v>11.775586555642477</c:v>
                </c:pt>
                <c:pt idx="44">
                  <c:v>11.775586555642477</c:v>
                </c:pt>
                <c:pt idx="45">
                  <c:v>11.775586555642477</c:v>
                </c:pt>
                <c:pt idx="46">
                  <c:v>11.775586555642477</c:v>
                </c:pt>
                <c:pt idx="47">
                  <c:v>11.775586555642477</c:v>
                </c:pt>
                <c:pt idx="48">
                  <c:v>11.775586555642477</c:v>
                </c:pt>
                <c:pt idx="49">
                  <c:v>11.775586555642477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30-4688-8C53-71C4DECA6B65}"/>
            </c:ext>
          </c:extLst>
        </c:ser>
        <c:ser>
          <c:idx val="2"/>
          <c:order val="2"/>
          <c:tx>
            <c:strRef>
              <c:f>'Step 8 - SPE'!$K$6</c:f>
              <c:strCache>
                <c:ptCount val="1"/>
                <c:pt idx="0">
                  <c:v>Warning limit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'Step 8 - SPE'!$H$7:$H$56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'Step 8 - SPE'!$K$7:$K$56</c:f>
              <c:numCache>
                <c:formatCode>General</c:formatCode>
                <c:ptCount val="50"/>
                <c:pt idx="0">
                  <c:v>11.38226970118221</c:v>
                </c:pt>
                <c:pt idx="1">
                  <c:v>11.38226970118221</c:v>
                </c:pt>
                <c:pt idx="2">
                  <c:v>11.38226970118221</c:v>
                </c:pt>
                <c:pt idx="3">
                  <c:v>11.38226970118221</c:v>
                </c:pt>
                <c:pt idx="4">
                  <c:v>11.38226970118221</c:v>
                </c:pt>
                <c:pt idx="5">
                  <c:v>11.38226970118221</c:v>
                </c:pt>
                <c:pt idx="6">
                  <c:v>11.38226970118221</c:v>
                </c:pt>
                <c:pt idx="7">
                  <c:v>11.38226970118221</c:v>
                </c:pt>
                <c:pt idx="8">
                  <c:v>11.38226970118221</c:v>
                </c:pt>
                <c:pt idx="9">
                  <c:v>11.38226970118221</c:v>
                </c:pt>
                <c:pt idx="10">
                  <c:v>11.38226970118221</c:v>
                </c:pt>
                <c:pt idx="11">
                  <c:v>11.38226970118221</c:v>
                </c:pt>
                <c:pt idx="12">
                  <c:v>11.38226970118221</c:v>
                </c:pt>
                <c:pt idx="13">
                  <c:v>11.38226970118221</c:v>
                </c:pt>
                <c:pt idx="14">
                  <c:v>11.38226970118221</c:v>
                </c:pt>
                <c:pt idx="15">
                  <c:v>11.38226970118221</c:v>
                </c:pt>
                <c:pt idx="16">
                  <c:v>11.38226970118221</c:v>
                </c:pt>
                <c:pt idx="17">
                  <c:v>11.38226970118221</c:v>
                </c:pt>
                <c:pt idx="18">
                  <c:v>11.38226970118221</c:v>
                </c:pt>
                <c:pt idx="19">
                  <c:v>11.38226970118221</c:v>
                </c:pt>
                <c:pt idx="20">
                  <c:v>11.38226970118221</c:v>
                </c:pt>
                <c:pt idx="21">
                  <c:v>11.38226970118221</c:v>
                </c:pt>
                <c:pt idx="22">
                  <c:v>11.38226970118221</c:v>
                </c:pt>
                <c:pt idx="23">
                  <c:v>11.38226970118221</c:v>
                </c:pt>
                <c:pt idx="24">
                  <c:v>11.38226970118221</c:v>
                </c:pt>
                <c:pt idx="25">
                  <c:v>11.38226970118221</c:v>
                </c:pt>
                <c:pt idx="26">
                  <c:v>11.38226970118221</c:v>
                </c:pt>
                <c:pt idx="27">
                  <c:v>11.38226970118221</c:v>
                </c:pt>
                <c:pt idx="28">
                  <c:v>11.38226970118221</c:v>
                </c:pt>
                <c:pt idx="29">
                  <c:v>11.38226970118221</c:v>
                </c:pt>
                <c:pt idx="30">
                  <c:v>11.38226970118221</c:v>
                </c:pt>
                <c:pt idx="31">
                  <c:v>11.38226970118221</c:v>
                </c:pt>
                <c:pt idx="32">
                  <c:v>11.38226970118221</c:v>
                </c:pt>
                <c:pt idx="33">
                  <c:v>11.38226970118221</c:v>
                </c:pt>
                <c:pt idx="34">
                  <c:v>11.38226970118221</c:v>
                </c:pt>
                <c:pt idx="35">
                  <c:v>11.38226970118221</c:v>
                </c:pt>
                <c:pt idx="36">
                  <c:v>11.38226970118221</c:v>
                </c:pt>
                <c:pt idx="37">
                  <c:v>11.38226970118221</c:v>
                </c:pt>
                <c:pt idx="38">
                  <c:v>11.38226970118221</c:v>
                </c:pt>
                <c:pt idx="39">
                  <c:v>11.38226970118221</c:v>
                </c:pt>
                <c:pt idx="40">
                  <c:v>11.38226970118221</c:v>
                </c:pt>
                <c:pt idx="41">
                  <c:v>11.38226970118221</c:v>
                </c:pt>
                <c:pt idx="42">
                  <c:v>11.38226970118221</c:v>
                </c:pt>
                <c:pt idx="43">
                  <c:v>11.38226970118221</c:v>
                </c:pt>
                <c:pt idx="44">
                  <c:v>11.38226970118221</c:v>
                </c:pt>
                <c:pt idx="45">
                  <c:v>11.38226970118221</c:v>
                </c:pt>
                <c:pt idx="46">
                  <c:v>11.38226970118221</c:v>
                </c:pt>
                <c:pt idx="47">
                  <c:v>11.38226970118221</c:v>
                </c:pt>
                <c:pt idx="48">
                  <c:v>11.38226970118221</c:v>
                </c:pt>
                <c:pt idx="49">
                  <c:v>11.38226970118221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30-4688-8C53-71C4DECA6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548191"/>
        <c:axId val="1747548607"/>
      </c:scatterChart>
      <c:valAx>
        <c:axId val="174754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548607"/>
        <c:crosses val="autoZero"/>
        <c:crossBetween val="midCat"/>
      </c:valAx>
      <c:valAx>
        <c:axId val="174754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SPE Statistics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548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Variance Accumulated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Archive_Eigenvalues!$Q$4:$Q$16</c:f>
              <c:numCache>
                <c:formatCode>General</c:formatCode>
                <c:ptCount val="13"/>
                <c:pt idx="0">
                  <c:v>0.3125396698800238</c:v>
                </c:pt>
                <c:pt idx="1">
                  <c:v>0.47948470867457071</c:v>
                </c:pt>
                <c:pt idx="2">
                  <c:v>0.60262980152821755</c:v>
                </c:pt>
                <c:pt idx="3">
                  <c:v>0.70397200832441142</c:v>
                </c:pt>
                <c:pt idx="4">
                  <c:v>0.79121824624775217</c:v>
                </c:pt>
                <c:pt idx="5">
                  <c:v>0.86303342177591535</c:v>
                </c:pt>
                <c:pt idx="6">
                  <c:v>0.91253579770727766</c:v>
                </c:pt>
                <c:pt idx="7">
                  <c:v>0.95781881419776538</c:v>
                </c:pt>
                <c:pt idx="8">
                  <c:v>0.98437632045526102</c:v>
                </c:pt>
                <c:pt idx="9">
                  <c:v>0.99586712316695636</c:v>
                </c:pt>
                <c:pt idx="10">
                  <c:v>0.9980539545733913</c:v>
                </c:pt>
                <c:pt idx="11">
                  <c:v>0.9997870197801958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03-4287-99A7-6B6915D6C662}"/>
            </c:ext>
          </c:extLst>
        </c:ser>
        <c:ser>
          <c:idx val="1"/>
          <c:order val="1"/>
          <c:tx>
            <c:v>80% Thresold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Archive_Eigenvalues!$R$4:$R$16</c:f>
              <c:numCache>
                <c:formatCode>General</c:formatCode>
                <c:ptCount val="13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03-4287-99A7-6B6915D6C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147503"/>
        <c:axId val="1915796063"/>
      </c:lineChart>
      <c:catAx>
        <c:axId val="1921147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796063"/>
        <c:crosses val="autoZero"/>
        <c:auto val="1"/>
        <c:lblAlgn val="ctr"/>
        <c:lblOffset val="100"/>
        <c:noMultiLvlLbl val="0"/>
      </c:catAx>
      <c:valAx>
        <c:axId val="191579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14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w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14659</xdr:colOff>
      <xdr:row>3</xdr:row>
      <xdr:rowOff>9524</xdr:rowOff>
    </xdr:from>
    <xdr:to>
      <xdr:col>16</xdr:col>
      <xdr:colOff>519483</xdr:colOff>
      <xdr:row>25</xdr:row>
      <xdr:rowOff>76203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AAD6037D-B199-4580-BC46-D042D7E55C78}"/>
            </a:ext>
          </a:extLst>
        </xdr:cNvPr>
        <xdr:cNvSpPr/>
      </xdr:nvSpPr>
      <xdr:spPr>
        <a:xfrm rot="16200000">
          <a:off x="6124577" y="896817"/>
          <a:ext cx="4096487" cy="415363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STEP</a:t>
          </a:r>
          <a:r>
            <a:rPr lang="en-US" sz="2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7</a:t>
          </a:r>
          <a:endParaRPr lang="en-US" sz="2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142876</xdr:colOff>
      <xdr:row>24</xdr:row>
      <xdr:rowOff>76199</xdr:rowOff>
    </xdr:from>
    <xdr:to>
      <xdr:col>8</xdr:col>
      <xdr:colOff>38101</xdr:colOff>
      <xdr:row>63</xdr:row>
      <xdr:rowOff>66677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FA8C9FD-9CC5-43B5-BCB2-78C10503F081}"/>
            </a:ext>
          </a:extLst>
        </xdr:cNvPr>
        <xdr:cNvSpPr/>
      </xdr:nvSpPr>
      <xdr:spPr>
        <a:xfrm rot="16200000">
          <a:off x="-1185863" y="5757863"/>
          <a:ext cx="7048503" cy="41624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STEP</a:t>
          </a:r>
          <a:r>
            <a:rPr lang="en-US" sz="2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6</a:t>
          </a:r>
          <a:endParaRPr lang="en-US" sz="2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171450</xdr:colOff>
      <xdr:row>3</xdr:row>
      <xdr:rowOff>19050</xdr:rowOff>
    </xdr:from>
    <xdr:to>
      <xdr:col>8</xdr:col>
      <xdr:colOff>0</xdr:colOff>
      <xdr:row>23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885C281-D1A4-41D7-A289-5F0402D21587}"/>
            </a:ext>
          </a:extLst>
        </xdr:cNvPr>
        <xdr:cNvSpPr/>
      </xdr:nvSpPr>
      <xdr:spPr>
        <a:xfrm rot="16200000">
          <a:off x="952500" y="1114425"/>
          <a:ext cx="3752850" cy="4095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STEP</a:t>
          </a:r>
          <a:r>
            <a:rPr lang="en-US" sz="2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5</a:t>
          </a:r>
          <a:endParaRPr lang="en-US" sz="2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133351</xdr:colOff>
      <xdr:row>4</xdr:row>
      <xdr:rowOff>114301</xdr:rowOff>
    </xdr:from>
    <xdr:to>
      <xdr:col>7</xdr:col>
      <xdr:colOff>76201</xdr:colOff>
      <xdr:row>10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72BFA49-00DC-4A2E-A3D0-251900BFF0D3}"/>
            </a:ext>
          </a:extLst>
        </xdr:cNvPr>
        <xdr:cNvSpPr/>
      </xdr:nvSpPr>
      <xdr:spPr>
        <a:xfrm>
          <a:off x="857251" y="733426"/>
          <a:ext cx="2990850" cy="11144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Replace</a:t>
          </a:r>
          <a:r>
            <a:rPr lang="en-US" sz="1100" baseline="0">
              <a:solidFill>
                <a:srgbClr val="FF0000"/>
              </a:solidFill>
            </a:rPr>
            <a:t> NOC data with case studies (operation condition) with same variable setup.</a:t>
          </a:r>
        </a:p>
        <a:p>
          <a:pPr algn="ctr"/>
          <a:endParaRPr lang="en-US" sz="1100" baseline="0">
            <a:solidFill>
              <a:srgbClr val="FF0000"/>
            </a:solidFill>
          </a:endParaRPr>
        </a:p>
        <a:p>
          <a:pPr algn="ctr"/>
          <a:r>
            <a:rPr lang="en-US" sz="1100" baseline="0">
              <a:solidFill>
                <a:srgbClr val="FF0000"/>
              </a:solidFill>
            </a:rPr>
            <a:t>*Note: Ensure original NOC average and std deviation unchanged!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133351</xdr:colOff>
      <xdr:row>14</xdr:row>
      <xdr:rowOff>104776</xdr:rowOff>
    </xdr:from>
    <xdr:to>
      <xdr:col>7</xdr:col>
      <xdr:colOff>76201</xdr:colOff>
      <xdr:row>19</xdr:row>
      <xdr:rowOff>114301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882BA03-67F8-415A-9C7B-FE3AFFCEB265}"/>
            </a:ext>
          </a:extLst>
        </xdr:cNvPr>
        <xdr:cNvSpPr/>
      </xdr:nvSpPr>
      <xdr:spPr>
        <a:xfrm>
          <a:off x="857251" y="2533651"/>
          <a:ext cx="2990850" cy="9144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Standardization</a:t>
          </a:r>
          <a:r>
            <a:rPr lang="en-US" sz="1100" baseline="0">
              <a:solidFill>
                <a:srgbClr val="FF0000"/>
              </a:solidFill>
            </a:rPr>
            <a:t> of case data to zero mean and unit variance for respective variables.</a:t>
          </a:r>
        </a:p>
      </xdr:txBody>
    </xdr:sp>
    <xdr:clientData/>
  </xdr:twoCellAnchor>
  <xdr:twoCellAnchor>
    <xdr:from>
      <xdr:col>2</xdr:col>
      <xdr:colOff>133351</xdr:colOff>
      <xdr:row>25</xdr:row>
      <xdr:rowOff>114301</xdr:rowOff>
    </xdr:from>
    <xdr:to>
      <xdr:col>7</xdr:col>
      <xdr:colOff>76201</xdr:colOff>
      <xdr:row>31</xdr:row>
      <xdr:rowOff>123825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CC91941-5AF7-485A-87D6-9B0646169031}"/>
            </a:ext>
          </a:extLst>
        </xdr:cNvPr>
        <xdr:cNvSpPr/>
      </xdr:nvSpPr>
      <xdr:spPr>
        <a:xfrm>
          <a:off x="1352551" y="5000626"/>
          <a:ext cx="2990850" cy="10953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>
                  <a:lumMod val="75000"/>
                </a:schemeClr>
              </a:solidFill>
            </a:rPr>
            <a:t>Development of Correlation Matrix (or</a:t>
          </a:r>
          <a:r>
            <a:rPr lang="en-US" sz="1100" baseline="0">
              <a:solidFill>
                <a:schemeClr val="bg1">
                  <a:lumMod val="75000"/>
                </a:schemeClr>
              </a:solidFill>
            </a:rPr>
            <a:t> Covariance Matrix) via Excel Data Analysis Tool</a:t>
          </a:r>
        </a:p>
        <a:p>
          <a:pPr algn="ctr"/>
          <a:endParaRPr lang="en-US" sz="1100" baseline="0">
            <a:solidFill>
              <a:schemeClr val="bg1">
                <a:lumMod val="75000"/>
              </a:schemeClr>
            </a:solidFill>
          </a:endParaRPr>
        </a:p>
        <a:p>
          <a:pPr algn="l"/>
          <a:r>
            <a:rPr lang="en-US" sz="1100" i="1" baseline="0">
              <a:solidFill>
                <a:schemeClr val="bg1">
                  <a:lumMod val="75000"/>
                </a:schemeClr>
              </a:solidFill>
            </a:rPr>
            <a:t>*Note: To enable Data Analysis Tool Pak via Excel Add-On.</a:t>
          </a:r>
          <a:endParaRPr lang="en-US" sz="1100" i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133351</xdr:colOff>
      <xdr:row>33</xdr:row>
      <xdr:rowOff>152401</xdr:rowOff>
    </xdr:from>
    <xdr:to>
      <xdr:col>7</xdr:col>
      <xdr:colOff>76201</xdr:colOff>
      <xdr:row>41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9105441-CD9B-4040-BCEA-773A9CD0485C}"/>
            </a:ext>
          </a:extLst>
        </xdr:cNvPr>
        <xdr:cNvSpPr/>
      </xdr:nvSpPr>
      <xdr:spPr>
        <a:xfrm>
          <a:off x="857251" y="6019801"/>
          <a:ext cx="2990850" cy="14382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>
                  <a:lumMod val="75000"/>
                </a:schemeClr>
              </a:solidFill>
            </a:rPr>
            <a:t>Transformation of Correlation</a:t>
          </a:r>
          <a:r>
            <a:rPr lang="en-US" sz="1100" baseline="0">
              <a:solidFill>
                <a:schemeClr val="bg1">
                  <a:lumMod val="75000"/>
                </a:schemeClr>
              </a:solidFill>
            </a:rPr>
            <a:t> Matrix to Eigenvector Matrix and Eigenvalues</a:t>
          </a:r>
        </a:p>
        <a:p>
          <a:pPr algn="l"/>
          <a:endParaRPr lang="en-US" sz="1100" baseline="0">
            <a:solidFill>
              <a:schemeClr val="bg1">
                <a:lumMod val="75000"/>
              </a:schemeClr>
            </a:solidFill>
          </a:endParaRPr>
        </a:p>
        <a:p>
          <a:pPr algn="l"/>
          <a:r>
            <a:rPr lang="en-US" sz="1100" baseline="0">
              <a:solidFill>
                <a:schemeClr val="bg1">
                  <a:lumMod val="75000"/>
                </a:schemeClr>
              </a:solidFill>
            </a:rPr>
            <a:t>Python Example=&gt;</a:t>
          </a:r>
        </a:p>
        <a:p>
          <a:pPr algn="ctr"/>
          <a:endParaRPr lang="en-US" sz="1100" i="1" baseline="0">
            <a:solidFill>
              <a:schemeClr val="bg1">
                <a:lumMod val="75000"/>
              </a:schemeClr>
            </a:solidFill>
          </a:endParaRPr>
        </a:p>
        <a:p>
          <a:pPr algn="ctr"/>
          <a:endParaRPr lang="en-US" sz="1100" i="1" baseline="0">
            <a:solidFill>
              <a:schemeClr val="bg1">
                <a:lumMod val="75000"/>
              </a:schemeClr>
            </a:solidFill>
          </a:endParaRPr>
        </a:p>
        <a:p>
          <a:pPr algn="ctr"/>
          <a:endParaRPr lang="en-US" sz="1100" i="1" baseline="0">
            <a:solidFill>
              <a:schemeClr val="bg1">
                <a:lumMod val="75000"/>
              </a:schemeClr>
            </a:solidFill>
          </a:endParaRPr>
        </a:p>
        <a:p>
          <a:pPr algn="ctr"/>
          <a:endParaRPr lang="en-US" sz="1100" i="1" baseline="0">
            <a:solidFill>
              <a:schemeClr val="bg1">
                <a:lumMod val="75000"/>
              </a:schemeClr>
            </a:solidFill>
          </a:endParaRPr>
        </a:p>
        <a:p>
          <a:pPr algn="ctr"/>
          <a:endParaRPr lang="en-US" sz="1100" baseline="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133350</xdr:colOff>
      <xdr:row>44</xdr:row>
      <xdr:rowOff>0</xdr:rowOff>
    </xdr:from>
    <xdr:to>
      <xdr:col>7</xdr:col>
      <xdr:colOff>76200</xdr:colOff>
      <xdr:row>52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370657-35FC-454B-8178-E532D5FF53B0}"/>
            </a:ext>
          </a:extLst>
        </xdr:cNvPr>
        <xdr:cNvSpPr/>
      </xdr:nvSpPr>
      <xdr:spPr>
        <a:xfrm>
          <a:off x="1352550" y="8324850"/>
          <a:ext cx="2990850" cy="1609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>
                  <a:lumMod val="75000"/>
                </a:schemeClr>
              </a:solidFill>
            </a:rPr>
            <a:t>Propotion of Data</a:t>
          </a:r>
          <a:r>
            <a:rPr lang="en-US" sz="1100" baseline="0">
              <a:solidFill>
                <a:schemeClr val="bg1">
                  <a:lumMod val="75000"/>
                </a:schemeClr>
              </a:solidFill>
            </a:rPr>
            <a:t> Variation</a:t>
          </a:r>
        </a:p>
        <a:p>
          <a:pPr algn="ctr"/>
          <a:r>
            <a:rPr lang="en-US" sz="1100" i="1" baseline="0">
              <a:solidFill>
                <a:schemeClr val="bg1">
                  <a:lumMod val="75000"/>
                </a:schemeClr>
              </a:solidFill>
            </a:rPr>
            <a:t>Plot a curve of accumulated variance eigenvalues against number of principle components </a:t>
          </a:r>
        </a:p>
        <a:p>
          <a:pPr algn="ctr"/>
          <a:endParaRPr lang="en-US" sz="1100" i="1" baseline="0">
            <a:solidFill>
              <a:schemeClr val="bg1">
                <a:lumMod val="75000"/>
              </a:schemeClr>
            </a:solidFill>
          </a:endParaRPr>
        </a:p>
        <a:p>
          <a:pPr algn="ctr"/>
          <a:endParaRPr lang="en-US" sz="1100" i="1" baseline="0">
            <a:solidFill>
              <a:schemeClr val="bg1">
                <a:lumMod val="75000"/>
              </a:schemeClr>
            </a:solidFill>
          </a:endParaRPr>
        </a:p>
        <a:p>
          <a:pPr algn="ctr"/>
          <a:endParaRPr lang="en-US" sz="1100" i="1" baseline="0">
            <a:solidFill>
              <a:schemeClr val="bg1">
                <a:lumMod val="75000"/>
              </a:schemeClr>
            </a:solidFill>
          </a:endParaRPr>
        </a:p>
        <a:p>
          <a:pPr algn="ctr"/>
          <a:endParaRPr lang="en-US" sz="1100" i="1" baseline="0">
            <a:solidFill>
              <a:schemeClr val="bg1">
                <a:lumMod val="75000"/>
              </a:schemeClr>
            </a:solidFill>
          </a:endParaRPr>
        </a:p>
        <a:p>
          <a:pPr algn="ctr"/>
          <a:endParaRPr lang="en-US" sz="1100" i="1" baseline="0">
            <a:solidFill>
              <a:schemeClr val="bg1">
                <a:lumMod val="75000"/>
              </a:schemeClr>
            </a:solidFill>
          </a:endParaRPr>
        </a:p>
        <a:p>
          <a:pPr algn="ctr"/>
          <a:endParaRPr lang="en-US" sz="1100" i="1" baseline="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133350</xdr:colOff>
      <xdr:row>54</xdr:row>
      <xdr:rowOff>19050</xdr:rowOff>
    </xdr:from>
    <xdr:to>
      <xdr:col>7</xdr:col>
      <xdr:colOff>76200</xdr:colOff>
      <xdr:row>62</xdr:row>
      <xdr:rowOff>95250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17262AF-8898-431A-BBD4-7C8E880489BF}"/>
            </a:ext>
          </a:extLst>
        </xdr:cNvPr>
        <xdr:cNvSpPr/>
      </xdr:nvSpPr>
      <xdr:spPr>
        <a:xfrm>
          <a:off x="857250" y="9686925"/>
          <a:ext cx="2990850" cy="15240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Computation</a:t>
          </a:r>
          <a:r>
            <a:rPr lang="en-US" sz="1100" baseline="0">
              <a:solidFill>
                <a:srgbClr val="FF0000"/>
              </a:solidFill>
            </a:rPr>
            <a:t> of Priciple Component </a:t>
          </a:r>
        </a:p>
        <a:p>
          <a:pPr algn="ctr"/>
          <a:r>
            <a:rPr lang="en-US" sz="1100" i="1" baseline="0">
              <a:solidFill>
                <a:srgbClr val="FF0000"/>
              </a:solidFill>
            </a:rPr>
            <a:t>Apply Matrix Multiplication of Standardized Data and Selected Eigenmatrix</a:t>
          </a:r>
        </a:p>
        <a:p>
          <a:pPr algn="ctr"/>
          <a:endParaRPr lang="en-US" sz="1100" i="1" baseline="0">
            <a:solidFill>
              <a:srgbClr val="FF0000"/>
            </a:solidFill>
          </a:endParaRPr>
        </a:p>
        <a:p>
          <a:pPr algn="ctr"/>
          <a:r>
            <a:rPr lang="en-US" sz="1100" i="1" baseline="0">
              <a:solidFill>
                <a:srgbClr val="FF0000"/>
              </a:solidFill>
            </a:rPr>
            <a:t>Note: Use excel mmult function. Check beforehand multiplication matrixes </a:t>
          </a:r>
        </a:p>
        <a:p>
          <a:pPr algn="ctr"/>
          <a:r>
            <a:rPr lang="en-US" sz="1100" i="1" baseline="0">
              <a:solidFill>
                <a:srgbClr val="FF0000"/>
              </a:solidFill>
            </a:rPr>
            <a:t>e.g. [30x13] * [13x5] = [30x5)</a:t>
          </a:r>
        </a:p>
      </xdr:txBody>
    </xdr:sp>
    <xdr:clientData/>
  </xdr:twoCellAnchor>
  <xdr:twoCellAnchor>
    <xdr:from>
      <xdr:col>11</xdr:col>
      <xdr:colOff>128957</xdr:colOff>
      <xdr:row>3</xdr:row>
      <xdr:rowOff>171450</xdr:rowOff>
    </xdr:from>
    <xdr:to>
      <xdr:col>16</xdr:col>
      <xdr:colOff>71807</xdr:colOff>
      <xdr:row>11</xdr:row>
      <xdr:rowOff>171450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8451CE2-410B-40D3-B643-E17BC44989C2}"/>
            </a:ext>
          </a:extLst>
        </xdr:cNvPr>
        <xdr:cNvSpPr/>
      </xdr:nvSpPr>
      <xdr:spPr>
        <a:xfrm>
          <a:off x="6818438" y="1087315"/>
          <a:ext cx="2983523" cy="146538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Calculation</a:t>
          </a:r>
          <a:r>
            <a:rPr lang="en-US" sz="1100" baseline="0">
              <a:solidFill>
                <a:srgbClr val="FF0000"/>
              </a:solidFill>
            </a:rPr>
            <a:t> of </a:t>
          </a:r>
          <a:r>
            <a:rPr lang="en-US" sz="1400" b="1" baseline="0">
              <a:solidFill>
                <a:srgbClr val="FF0000"/>
              </a:solidFill>
            </a:rPr>
            <a:t>Hotelling's T2 </a:t>
          </a:r>
          <a:r>
            <a:rPr lang="en-US" sz="1100" baseline="0">
              <a:solidFill>
                <a:srgbClr val="FF0000"/>
              </a:solidFill>
            </a:rPr>
            <a:t>- conceptually shows maginuted of deviation from centre of multivariate data</a:t>
          </a:r>
        </a:p>
        <a:p>
          <a:pPr algn="ctr"/>
          <a:endParaRPr lang="en-US" sz="1100" baseline="0">
            <a:solidFill>
              <a:srgbClr val="FF0000"/>
            </a:solidFill>
          </a:endParaRPr>
        </a:p>
        <a:p>
          <a:pPr algn="ctr"/>
          <a:r>
            <a:rPr lang="en-US" sz="1100" i="1" baseline="0">
              <a:solidFill>
                <a:srgbClr val="FF0000"/>
              </a:solidFill>
            </a:rPr>
            <a:t>Summation of each PC squared per respective selected eigenvalues.</a:t>
          </a:r>
        </a:p>
      </xdr:txBody>
    </xdr:sp>
    <xdr:clientData/>
  </xdr:twoCellAnchor>
  <xdr:twoCellAnchor>
    <xdr:from>
      <xdr:col>11</xdr:col>
      <xdr:colOff>109907</xdr:colOff>
      <xdr:row>13</xdr:row>
      <xdr:rowOff>76200</xdr:rowOff>
    </xdr:from>
    <xdr:to>
      <xdr:col>16</xdr:col>
      <xdr:colOff>52757</xdr:colOff>
      <xdr:row>23</xdr:row>
      <xdr:rowOff>95250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3306CFB-F41D-40F2-8C0B-CA14EEF706F9}"/>
            </a:ext>
          </a:extLst>
        </xdr:cNvPr>
        <xdr:cNvSpPr/>
      </xdr:nvSpPr>
      <xdr:spPr>
        <a:xfrm>
          <a:off x="6815507" y="2247900"/>
          <a:ext cx="2990850" cy="18288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Calculation</a:t>
          </a:r>
          <a:r>
            <a:rPr lang="en-US" sz="1100" baseline="0">
              <a:solidFill>
                <a:srgbClr val="FF0000"/>
              </a:solidFill>
            </a:rPr>
            <a:t> of </a:t>
          </a:r>
          <a:r>
            <a:rPr lang="en-US" sz="1400" b="1" baseline="0">
              <a:solidFill>
                <a:srgbClr val="FF0000"/>
              </a:solidFill>
            </a:rPr>
            <a:t>Squared Prediction Erorrs (SPE) </a:t>
          </a:r>
          <a:r>
            <a:rPr lang="en-US" sz="1100" baseline="0">
              <a:solidFill>
                <a:srgbClr val="FF0000"/>
              </a:solidFill>
            </a:rPr>
            <a:t>(consistency of correlation among variables)</a:t>
          </a:r>
        </a:p>
        <a:p>
          <a:pPr algn="ctr"/>
          <a:endParaRPr lang="en-US" sz="1100" baseline="0">
            <a:solidFill>
              <a:srgbClr val="FF0000"/>
            </a:solidFill>
          </a:endParaRPr>
        </a:p>
        <a:p>
          <a:pPr algn="ctr"/>
          <a:r>
            <a:rPr lang="en-US" sz="1100" i="1" baseline="0">
              <a:solidFill>
                <a:srgbClr val="FF0000"/>
              </a:solidFill>
            </a:rPr>
            <a:t>E matrix is calculated by Standardized Data - Principle Component * Transposed Selected Eigenvector</a:t>
          </a:r>
        </a:p>
        <a:p>
          <a:pPr algn="ctr"/>
          <a:r>
            <a:rPr lang="en-US" sz="1100" i="1" baseline="0">
              <a:solidFill>
                <a:srgbClr val="FF0000"/>
              </a:solidFill>
            </a:rPr>
            <a:t>SPE is given by squared of each variables in a row of E matrix.</a:t>
          </a:r>
        </a:p>
      </xdr:txBody>
    </xdr:sp>
    <xdr:clientData/>
  </xdr:twoCellAnchor>
  <xdr:twoCellAnchor>
    <xdr:from>
      <xdr:col>2</xdr:col>
      <xdr:colOff>381000</xdr:colOff>
      <xdr:row>48</xdr:row>
      <xdr:rowOff>9525</xdr:rowOff>
    </xdr:from>
    <xdr:to>
      <xdr:col>6</xdr:col>
      <xdr:colOff>457200</xdr:colOff>
      <xdr:row>51</xdr:row>
      <xdr:rowOff>161925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629B74E-7095-47C4-9635-64A029D2626D}"/>
            </a:ext>
          </a:extLst>
        </xdr:cNvPr>
        <xdr:cNvSpPr/>
      </xdr:nvSpPr>
      <xdr:spPr>
        <a:xfrm>
          <a:off x="1600200" y="9058275"/>
          <a:ext cx="2514600" cy="695325"/>
        </a:xfrm>
        <a:prstGeom prst="rect">
          <a:avLst/>
        </a:prstGeom>
        <a:noFill/>
        <a:ln>
          <a:solidFill>
            <a:sysClr val="windowText" lastClr="00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i="1" baseline="0">
              <a:solidFill>
                <a:schemeClr val="bg1">
                  <a:lumMod val="75000"/>
                </a:schemeClr>
              </a:solidFill>
            </a:rPr>
            <a:t>=&gt; Selected eigenvalues and eigenmatrix by eliminating top 20% as marginal error (insignificant to model).</a:t>
          </a:r>
        </a:p>
      </xdr:txBody>
    </xdr:sp>
    <xdr:clientData/>
  </xdr:twoCellAnchor>
  <xdr:twoCellAnchor>
    <xdr:from>
      <xdr:col>18</xdr:col>
      <xdr:colOff>338511</xdr:colOff>
      <xdr:row>2</xdr:row>
      <xdr:rowOff>0</xdr:rowOff>
    </xdr:from>
    <xdr:to>
      <xdr:col>25</xdr:col>
      <xdr:colOff>233737</xdr:colOff>
      <xdr:row>26</xdr:row>
      <xdr:rowOff>28574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E08B0478-692B-490C-A36B-C070867EAB67}"/>
            </a:ext>
          </a:extLst>
        </xdr:cNvPr>
        <xdr:cNvSpPr/>
      </xdr:nvSpPr>
      <xdr:spPr>
        <a:xfrm rot="16200000">
          <a:off x="11099930" y="820248"/>
          <a:ext cx="4522176" cy="4152168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STEP</a:t>
          </a:r>
          <a:r>
            <a:rPr lang="en-US" sz="2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8</a:t>
          </a:r>
          <a:endParaRPr lang="en-US" sz="2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</xdr:col>
      <xdr:colOff>348034</xdr:colOff>
      <xdr:row>3</xdr:row>
      <xdr:rowOff>47623</xdr:rowOff>
    </xdr:from>
    <xdr:to>
      <xdr:col>24</xdr:col>
      <xdr:colOff>519484</xdr:colOff>
      <xdr:row>12</xdr:row>
      <xdr:rowOff>104773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6F1CEAC-D04C-4E24-8343-F00839C27058}"/>
            </a:ext>
          </a:extLst>
        </xdr:cNvPr>
        <xdr:cNvSpPr/>
      </xdr:nvSpPr>
      <xdr:spPr>
        <a:xfrm>
          <a:off x="11902592" y="963488"/>
          <a:ext cx="3212123" cy="170570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u="sng">
              <a:solidFill>
                <a:srgbClr val="FF0000"/>
              </a:solidFill>
            </a:rPr>
            <a:t>Check against T2 control limit</a:t>
          </a:r>
        </a:p>
        <a:p>
          <a:pPr algn="ctr"/>
          <a:endParaRPr lang="en-US" sz="1100" i="1" u="sng">
            <a:solidFill>
              <a:srgbClr val="FF0000"/>
            </a:solidFill>
          </a:endParaRPr>
        </a:p>
        <a:p>
          <a:pPr algn="ctr"/>
          <a:r>
            <a:rPr lang="en-US" sz="1100" i="1" u="none">
              <a:solidFill>
                <a:srgbClr val="FF0000"/>
              </a:solidFill>
            </a:rPr>
            <a:t>No changes are required</a:t>
          </a:r>
          <a:r>
            <a:rPr lang="en-US" sz="1100" i="1" u="none" baseline="0">
              <a:solidFill>
                <a:srgbClr val="FF0000"/>
              </a:solidFill>
            </a:rPr>
            <a:t> to the limit. Only compare T2 values to limit set in Phase 1</a:t>
          </a:r>
          <a:endParaRPr lang="en-US" sz="1100" i="1" u="none">
            <a:solidFill>
              <a:srgbClr val="FF0000"/>
            </a:solidFill>
          </a:endParaRPr>
        </a:p>
      </xdr:txBody>
    </xdr:sp>
    <xdr:clientData/>
  </xdr:twoCellAnchor>
  <xdr:twoCellAnchor>
    <xdr:from>
      <xdr:col>19</xdr:col>
      <xdr:colOff>348034</xdr:colOff>
      <xdr:row>13</xdr:row>
      <xdr:rowOff>161923</xdr:rowOff>
    </xdr:from>
    <xdr:to>
      <xdr:col>24</xdr:col>
      <xdr:colOff>519484</xdr:colOff>
      <xdr:row>23</xdr:row>
      <xdr:rowOff>38098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4368E69-556B-4BB9-84C9-E6A76B415468}"/>
            </a:ext>
          </a:extLst>
        </xdr:cNvPr>
        <xdr:cNvSpPr/>
      </xdr:nvSpPr>
      <xdr:spPr>
        <a:xfrm>
          <a:off x="11902592" y="2909519"/>
          <a:ext cx="3212123" cy="170790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u="sng">
              <a:solidFill>
                <a:sysClr val="windowText" lastClr="000000"/>
              </a:solidFill>
            </a:rPr>
            <a:t>Check against SPE control limit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ctr"/>
          <a:r>
            <a:rPr lang="en-US" sz="1100" i="1" u="none">
              <a:solidFill>
                <a:sysClr val="windowText" lastClr="000000"/>
              </a:solidFill>
            </a:rPr>
            <a:t>No changes are required to the limit. Only compare SPE values to limit set in Phase 1</a:t>
          </a:r>
        </a:p>
      </xdr:txBody>
    </xdr:sp>
    <xdr:clientData/>
  </xdr:twoCellAnchor>
  <xdr:twoCellAnchor>
    <xdr:from>
      <xdr:col>16</xdr:col>
      <xdr:colOff>71807</xdr:colOff>
      <xdr:row>7</xdr:row>
      <xdr:rowOff>167784</xdr:rowOff>
    </xdr:from>
    <xdr:to>
      <xdr:col>19</xdr:col>
      <xdr:colOff>348034</xdr:colOff>
      <xdr:row>7</xdr:row>
      <xdr:rowOff>171450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4AFCD3AE-7AEE-4DBA-A492-45BFD5B52DFA}"/>
            </a:ext>
          </a:extLst>
        </xdr:cNvPr>
        <xdr:cNvCxnSpPr>
          <a:stCxn id="14" idx="3"/>
          <a:endCxn id="19" idx="1"/>
        </xdr:cNvCxnSpPr>
      </xdr:nvCxnSpPr>
      <xdr:spPr>
        <a:xfrm flipV="1">
          <a:off x="9801961" y="1816342"/>
          <a:ext cx="2100631" cy="3666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52757</xdr:colOff>
      <xdr:row>18</xdr:row>
      <xdr:rowOff>85725</xdr:rowOff>
    </xdr:from>
    <xdr:to>
      <xdr:col>19</xdr:col>
      <xdr:colOff>348034</xdr:colOff>
      <xdr:row>18</xdr:row>
      <xdr:rowOff>100010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23ED42DC-E48E-4531-8F67-85EDB19FDC7F}"/>
            </a:ext>
          </a:extLst>
        </xdr:cNvPr>
        <xdr:cNvCxnSpPr>
          <a:stCxn id="15" idx="3"/>
          <a:endCxn id="20" idx="1"/>
        </xdr:cNvCxnSpPr>
      </xdr:nvCxnSpPr>
      <xdr:spPr>
        <a:xfrm>
          <a:off x="9782911" y="3749187"/>
          <a:ext cx="2119681" cy="1428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409576</xdr:colOff>
      <xdr:row>10</xdr:row>
      <xdr:rowOff>142875</xdr:rowOff>
    </xdr:from>
    <xdr:to>
      <xdr:col>4</xdr:col>
      <xdr:colOff>409576</xdr:colOff>
      <xdr:row>14</xdr:row>
      <xdr:rowOff>104776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7F9CA3C-D05A-45DF-9903-F5EB58F7F902}"/>
            </a:ext>
          </a:extLst>
        </xdr:cNvPr>
        <xdr:cNvCxnSpPr>
          <a:cxnSpLocks/>
          <a:stCxn id="3" idx="2"/>
          <a:endCxn id="5" idx="0"/>
        </xdr:cNvCxnSpPr>
      </xdr:nvCxnSpPr>
      <xdr:spPr>
        <a:xfrm>
          <a:off x="2352676" y="1847850"/>
          <a:ext cx="0" cy="685801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409576</xdr:colOff>
      <xdr:row>19</xdr:row>
      <xdr:rowOff>114301</xdr:rowOff>
    </xdr:from>
    <xdr:to>
      <xdr:col>4</xdr:col>
      <xdr:colOff>409576</xdr:colOff>
      <xdr:row>25</xdr:row>
      <xdr:rowOff>114301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7E420289-5D69-4174-B862-F4E019770ADC}"/>
            </a:ext>
          </a:extLst>
        </xdr:cNvPr>
        <xdr:cNvCxnSpPr>
          <a:cxnSpLocks/>
          <a:stCxn id="5" idx="2"/>
          <a:endCxn id="6" idx="0"/>
        </xdr:cNvCxnSpPr>
      </xdr:nvCxnSpPr>
      <xdr:spPr>
        <a:xfrm>
          <a:off x="2352676" y="3448051"/>
          <a:ext cx="0" cy="108585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409576</xdr:colOff>
      <xdr:row>31</xdr:row>
      <xdr:rowOff>123825</xdr:rowOff>
    </xdr:from>
    <xdr:to>
      <xdr:col>4</xdr:col>
      <xdr:colOff>409576</xdr:colOff>
      <xdr:row>33</xdr:row>
      <xdr:rowOff>152401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D509711A-0978-466C-9F5F-2252915757BF}"/>
            </a:ext>
          </a:extLst>
        </xdr:cNvPr>
        <xdr:cNvCxnSpPr>
          <a:cxnSpLocks/>
          <a:stCxn id="6" idx="2"/>
          <a:endCxn id="7" idx="0"/>
        </xdr:cNvCxnSpPr>
      </xdr:nvCxnSpPr>
      <xdr:spPr>
        <a:xfrm>
          <a:off x="2847976" y="6096000"/>
          <a:ext cx="0" cy="390526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409575</xdr:colOff>
      <xdr:row>41</xdr:row>
      <xdr:rowOff>142875</xdr:rowOff>
    </xdr:from>
    <xdr:to>
      <xdr:col>4</xdr:col>
      <xdr:colOff>409576</xdr:colOff>
      <xdr:row>44</xdr:row>
      <xdr:rowOff>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C1C2F65D-B20D-4B5A-B515-EFACF8C83CF0}"/>
            </a:ext>
          </a:extLst>
        </xdr:cNvPr>
        <xdr:cNvCxnSpPr>
          <a:cxnSpLocks/>
          <a:stCxn id="7" idx="2"/>
          <a:endCxn id="10" idx="0"/>
        </xdr:cNvCxnSpPr>
      </xdr:nvCxnSpPr>
      <xdr:spPr>
        <a:xfrm flipH="1">
          <a:off x="2847975" y="7924800"/>
          <a:ext cx="1" cy="40005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409575</xdr:colOff>
      <xdr:row>52</xdr:row>
      <xdr:rowOff>161925</xdr:rowOff>
    </xdr:from>
    <xdr:to>
      <xdr:col>4</xdr:col>
      <xdr:colOff>409575</xdr:colOff>
      <xdr:row>54</xdr:row>
      <xdr:rowOff>19050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60BC6594-ACDC-4258-B638-E48ADED5ED61}"/>
            </a:ext>
          </a:extLst>
        </xdr:cNvPr>
        <xdr:cNvCxnSpPr>
          <a:cxnSpLocks/>
          <a:stCxn id="10" idx="2"/>
          <a:endCxn id="11" idx="0"/>
        </xdr:cNvCxnSpPr>
      </xdr:nvCxnSpPr>
      <xdr:spPr>
        <a:xfrm>
          <a:off x="2847975" y="9934575"/>
          <a:ext cx="0" cy="21907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457200</xdr:colOff>
      <xdr:row>7</xdr:row>
      <xdr:rowOff>171451</xdr:rowOff>
    </xdr:from>
    <xdr:to>
      <xdr:col>11</xdr:col>
      <xdr:colOff>128957</xdr:colOff>
      <xdr:row>49</xdr:row>
      <xdr:rowOff>176646</xdr:rowOff>
    </xdr:to>
    <xdr:cxnSp macro="">
      <xdr:nvCxnSpPr>
        <xdr:cNvPr id="63" name="Connector: Elbow 62">
          <a:extLst>
            <a:ext uri="{FF2B5EF4-FFF2-40B4-BE49-F238E27FC236}">
              <a16:creationId xmlns:a16="http://schemas.microsoft.com/office/drawing/2014/main" id="{C890C751-3A7F-4018-8CD5-9C82CB65414C}"/>
            </a:ext>
          </a:extLst>
        </xdr:cNvPr>
        <xdr:cNvCxnSpPr>
          <a:cxnSpLocks/>
          <a:stCxn id="16" idx="3"/>
          <a:endCxn id="14" idx="1"/>
        </xdr:cNvCxnSpPr>
      </xdr:nvCxnSpPr>
      <xdr:spPr>
        <a:xfrm flipV="1">
          <a:off x="4119995" y="1808019"/>
          <a:ext cx="2724087" cy="7642513"/>
        </a:xfrm>
        <a:prstGeom prst="bentConnector3">
          <a:avLst>
            <a:gd name="adj1" fmla="val 50000"/>
          </a:avLst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76200</xdr:colOff>
      <xdr:row>20</xdr:row>
      <xdr:rowOff>123005</xdr:rowOff>
    </xdr:from>
    <xdr:to>
      <xdr:col>9</xdr:col>
      <xdr:colOff>312128</xdr:colOff>
      <xdr:row>58</xdr:row>
      <xdr:rowOff>57150</xdr:rowOff>
    </xdr:to>
    <xdr:cxnSp macro="">
      <xdr:nvCxnSpPr>
        <xdr:cNvPr id="72" name="Connector: Elbow 71">
          <a:extLst>
            <a:ext uri="{FF2B5EF4-FFF2-40B4-BE49-F238E27FC236}">
              <a16:creationId xmlns:a16="http://schemas.microsoft.com/office/drawing/2014/main" id="{DC892BC2-BBCF-4338-BBFB-76D81B36422F}"/>
            </a:ext>
          </a:extLst>
        </xdr:cNvPr>
        <xdr:cNvCxnSpPr>
          <a:cxnSpLocks/>
          <a:stCxn id="11" idx="3"/>
        </xdr:cNvCxnSpPr>
      </xdr:nvCxnSpPr>
      <xdr:spPr>
        <a:xfrm flipV="1">
          <a:off x="3848100" y="3637730"/>
          <a:ext cx="1455128" cy="6811195"/>
        </a:xfrm>
        <a:prstGeom prst="bentConnector2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312128</xdr:colOff>
      <xdr:row>9</xdr:row>
      <xdr:rowOff>140555</xdr:rowOff>
    </xdr:from>
    <xdr:to>
      <xdr:col>11</xdr:col>
      <xdr:colOff>133067</xdr:colOff>
      <xdr:row>19</xdr:row>
      <xdr:rowOff>104481</xdr:rowOff>
    </xdr:to>
    <xdr:cxnSp macro="">
      <xdr:nvCxnSpPr>
        <xdr:cNvPr id="81" name="Connector: Elbow 80">
          <a:extLst>
            <a:ext uri="{FF2B5EF4-FFF2-40B4-BE49-F238E27FC236}">
              <a16:creationId xmlns:a16="http://schemas.microsoft.com/office/drawing/2014/main" id="{F6118834-F1CF-4716-9CF2-FAA5034E1CD2}"/>
            </a:ext>
          </a:extLst>
        </xdr:cNvPr>
        <xdr:cNvCxnSpPr>
          <a:cxnSpLocks/>
        </xdr:cNvCxnSpPr>
      </xdr:nvCxnSpPr>
      <xdr:spPr>
        <a:xfrm rot="5400000" flipH="1" flipV="1">
          <a:off x="5452427" y="2476483"/>
          <a:ext cx="1761096" cy="1043014"/>
        </a:xfrm>
        <a:prstGeom prst="bentConnector2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316302</xdr:colOff>
      <xdr:row>18</xdr:row>
      <xdr:rowOff>68292</xdr:rowOff>
    </xdr:from>
    <xdr:to>
      <xdr:col>11</xdr:col>
      <xdr:colOff>109907</xdr:colOff>
      <xdr:row>18</xdr:row>
      <xdr:rowOff>68292</xdr:rowOff>
    </xdr:to>
    <xdr:cxnSp macro="">
      <xdr:nvCxnSpPr>
        <xdr:cNvPr id="17432" name="Straight Arrow Connector 17431">
          <a:extLst>
            <a:ext uri="{FF2B5EF4-FFF2-40B4-BE49-F238E27FC236}">
              <a16:creationId xmlns:a16="http://schemas.microsoft.com/office/drawing/2014/main" id="{627F1763-EA9D-431F-A875-D405CE69D99D}"/>
            </a:ext>
          </a:extLst>
        </xdr:cNvPr>
        <xdr:cNvCxnSpPr>
          <a:endCxn id="15" idx="1"/>
        </xdr:cNvCxnSpPr>
      </xdr:nvCxnSpPr>
      <xdr:spPr>
        <a:xfrm>
          <a:off x="5815642" y="3662632"/>
          <a:ext cx="1015680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602870</xdr:colOff>
      <xdr:row>20</xdr:row>
      <xdr:rowOff>12989</xdr:rowOff>
    </xdr:from>
    <xdr:to>
      <xdr:col>11</xdr:col>
      <xdr:colOff>112568</xdr:colOff>
      <xdr:row>20</xdr:row>
      <xdr:rowOff>12989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186F5F18-4BE1-450A-9872-01596FD3E4CA}"/>
            </a:ext>
          </a:extLst>
        </xdr:cNvPr>
        <xdr:cNvCxnSpPr/>
      </xdr:nvCxnSpPr>
      <xdr:spPr>
        <a:xfrm flipV="1">
          <a:off x="5486597" y="4013489"/>
          <a:ext cx="1341096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495300</xdr:colOff>
      <xdr:row>22</xdr:row>
      <xdr:rowOff>14288</xdr:rowOff>
    </xdr:from>
    <xdr:to>
      <xdr:col>11</xdr:col>
      <xdr:colOff>142875</xdr:colOff>
      <xdr:row>22</xdr:row>
      <xdr:rowOff>14288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E757849C-3FF1-433E-AEBB-3B34F7E39616}"/>
            </a:ext>
          </a:extLst>
        </xdr:cNvPr>
        <xdr:cNvCxnSpPr>
          <a:cxnSpLocks/>
        </xdr:cNvCxnSpPr>
      </xdr:nvCxnSpPr>
      <xdr:spPr>
        <a:xfrm>
          <a:off x="5981700" y="4357688"/>
          <a:ext cx="866775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76201</xdr:colOff>
      <xdr:row>17</xdr:row>
      <xdr:rowOff>19051</xdr:rowOff>
    </xdr:from>
    <xdr:to>
      <xdr:col>8</xdr:col>
      <xdr:colOff>485775</xdr:colOff>
      <xdr:row>22</xdr:row>
      <xdr:rowOff>14288</xdr:rowOff>
    </xdr:to>
    <xdr:cxnSp macro="">
      <xdr:nvCxnSpPr>
        <xdr:cNvPr id="17444" name="Connector: Elbow 17443">
          <a:extLst>
            <a:ext uri="{FF2B5EF4-FFF2-40B4-BE49-F238E27FC236}">
              <a16:creationId xmlns:a16="http://schemas.microsoft.com/office/drawing/2014/main" id="{3D4B467F-875E-4D1A-B8C3-6AA24C01C1BA}"/>
            </a:ext>
          </a:extLst>
        </xdr:cNvPr>
        <xdr:cNvCxnSpPr>
          <a:cxnSpLocks/>
          <a:stCxn id="5" idx="3"/>
        </xdr:cNvCxnSpPr>
      </xdr:nvCxnSpPr>
      <xdr:spPr>
        <a:xfrm>
          <a:off x="3848101" y="3171826"/>
          <a:ext cx="1019174" cy="900112"/>
        </a:xfrm>
        <a:prstGeom prst="bentConnector3">
          <a:avLst>
            <a:gd name="adj1" fmla="val 67757"/>
          </a:avLst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390525</xdr:colOff>
          <xdr:row>3</xdr:row>
          <xdr:rowOff>66675</xdr:rowOff>
        </xdr:from>
        <xdr:to>
          <xdr:col>2</xdr:col>
          <xdr:colOff>466725</xdr:colOff>
          <xdr:row>5</xdr:row>
          <xdr:rowOff>104775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8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12</xdr:col>
      <xdr:colOff>15240</xdr:colOff>
      <xdr:row>2</xdr:row>
      <xdr:rowOff>7620</xdr:rowOff>
    </xdr:from>
    <xdr:to>
      <xdr:col>25</xdr:col>
      <xdr:colOff>7620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200025</xdr:colOff>
          <xdr:row>0</xdr:row>
          <xdr:rowOff>133350</xdr:rowOff>
        </xdr:from>
        <xdr:to>
          <xdr:col>6</xdr:col>
          <xdr:colOff>276225</xdr:colOff>
          <xdr:row>3</xdr:row>
          <xdr:rowOff>171450</xdr:rowOff>
        </xdr:to>
        <xdr:sp macro="" textlink="">
          <xdr:nvSpPr>
            <xdr:cNvPr id="16386" name="Object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9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447675</xdr:colOff>
          <xdr:row>1</xdr:row>
          <xdr:rowOff>47625</xdr:rowOff>
        </xdr:from>
        <xdr:to>
          <xdr:col>8</xdr:col>
          <xdr:colOff>66675</xdr:colOff>
          <xdr:row>3</xdr:row>
          <xdr:rowOff>114300</xdr:rowOff>
        </xdr:to>
        <xdr:sp macro="" textlink="">
          <xdr:nvSpPr>
            <xdr:cNvPr id="16387" name="Object 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9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3</xdr:col>
      <xdr:colOff>152400</xdr:colOff>
      <xdr:row>6</xdr:row>
      <xdr:rowOff>22860</xdr:rowOff>
    </xdr:from>
    <xdr:ext cx="18934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900-000006000000}"/>
                </a:ext>
              </a:extLst>
            </xdr:cNvPr>
            <xdr:cNvSpPr txBox="1"/>
          </xdr:nvSpPr>
          <xdr:spPr>
            <a:xfrm>
              <a:off x="2305050" y="802386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MY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  <m:r>
                      <a:rPr lang="en-MY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3A1A330-BE98-45EB-BD7C-C806569024B9}"/>
                </a:ext>
              </a:extLst>
            </xdr:cNvPr>
            <xdr:cNvSpPr txBox="1"/>
          </xdr:nvSpPr>
          <xdr:spPr>
            <a:xfrm>
              <a:off x="2305050" y="802386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MY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r>
                <a:rPr lang="en-MY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144780</xdr:colOff>
      <xdr:row>7</xdr:row>
      <xdr:rowOff>0</xdr:rowOff>
    </xdr:from>
    <xdr:ext cx="18934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0900-000007000000}"/>
                </a:ext>
              </a:extLst>
            </xdr:cNvPr>
            <xdr:cNvSpPr txBox="1"/>
          </xdr:nvSpPr>
          <xdr:spPr>
            <a:xfrm>
              <a:off x="2297430" y="819150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MY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44BB44A-ED96-43A2-8872-CAF3384015EF}"/>
                </a:ext>
              </a:extLst>
            </xdr:cNvPr>
            <xdr:cNvSpPr txBox="1"/>
          </xdr:nvSpPr>
          <xdr:spPr>
            <a:xfrm>
              <a:off x="2297430" y="819150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MY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152400</xdr:colOff>
      <xdr:row>7</xdr:row>
      <xdr:rowOff>167640</xdr:rowOff>
    </xdr:from>
    <xdr:ext cx="18934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900-000008000000}"/>
                </a:ext>
              </a:extLst>
            </xdr:cNvPr>
            <xdr:cNvSpPr txBox="1"/>
          </xdr:nvSpPr>
          <xdr:spPr>
            <a:xfrm>
              <a:off x="2305050" y="835914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MY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</m:t>
                    </m:r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A469694-2BF6-4AB2-994D-DD98CA2794FD}"/>
                </a:ext>
              </a:extLst>
            </xdr:cNvPr>
            <xdr:cNvSpPr txBox="1"/>
          </xdr:nvSpPr>
          <xdr:spPr>
            <a:xfrm>
              <a:off x="2305050" y="8359140"/>
              <a:ext cx="1893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MY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3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152400</xdr:colOff>
      <xdr:row>9</xdr:row>
      <xdr:rowOff>0</xdr:rowOff>
    </xdr:from>
    <xdr:ext cx="17549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900-000009000000}"/>
                </a:ext>
              </a:extLst>
            </xdr:cNvPr>
            <xdr:cNvSpPr txBox="1"/>
          </xdr:nvSpPr>
          <xdr:spPr>
            <a:xfrm>
              <a:off x="2305050" y="8572500"/>
              <a:ext cx="17549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MY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87BE004-DD06-4E73-B844-7D877533A600}"/>
                </a:ext>
              </a:extLst>
            </xdr:cNvPr>
            <xdr:cNvSpPr txBox="1"/>
          </xdr:nvSpPr>
          <xdr:spPr>
            <a:xfrm>
              <a:off x="2305050" y="8572500"/>
              <a:ext cx="17549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ℎ</a:t>
              </a:r>
              <a:r>
                <a:rPr lang="en-MY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0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60960</xdr:colOff>
      <xdr:row>10</xdr:row>
      <xdr:rowOff>0</xdr:rowOff>
    </xdr:from>
    <xdr:ext cx="18396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900-00000A000000}"/>
                </a:ext>
              </a:extLst>
            </xdr:cNvPr>
            <xdr:cNvSpPr txBox="1"/>
          </xdr:nvSpPr>
          <xdr:spPr>
            <a:xfrm>
              <a:off x="2213610" y="8763000"/>
              <a:ext cx="18396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MY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AC05DA0-BC96-40CB-851E-AC6356A4BB87}"/>
                </a:ext>
              </a:extLst>
            </xdr:cNvPr>
            <xdr:cNvSpPr txBox="1"/>
          </xdr:nvSpPr>
          <xdr:spPr>
            <a:xfrm>
              <a:off x="2213610" y="8763000"/>
              <a:ext cx="18396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𝑍</a:t>
              </a:r>
              <a:r>
                <a:rPr lang="en-MY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76200</xdr:colOff>
      <xdr:row>12</xdr:row>
      <xdr:rowOff>0</xdr:rowOff>
    </xdr:from>
    <xdr:ext cx="34714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900-00000B000000}"/>
                </a:ext>
              </a:extLst>
            </xdr:cNvPr>
            <xdr:cNvSpPr txBox="1"/>
          </xdr:nvSpPr>
          <xdr:spPr>
            <a:xfrm>
              <a:off x="2228850" y="9144000"/>
              <a:ext cx="34714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MY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𝑆𝑃𝐸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CDFDCEA-37AB-4E8B-BE38-B52089B758CB}"/>
                </a:ext>
              </a:extLst>
            </xdr:cNvPr>
            <xdr:cNvSpPr txBox="1"/>
          </xdr:nvSpPr>
          <xdr:spPr>
            <a:xfrm>
              <a:off x="2228850" y="9144000"/>
              <a:ext cx="34714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MY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𝑆𝑃𝐸</a:t>
              </a:r>
              <a:r>
                <a:rPr lang="en-MY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45720</xdr:colOff>
      <xdr:row>11</xdr:row>
      <xdr:rowOff>0</xdr:rowOff>
    </xdr:from>
    <xdr:ext cx="18396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900-00000C000000}"/>
                </a:ext>
              </a:extLst>
            </xdr:cNvPr>
            <xdr:cNvSpPr txBox="1"/>
          </xdr:nvSpPr>
          <xdr:spPr>
            <a:xfrm>
              <a:off x="2198370" y="8953500"/>
              <a:ext cx="18396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MY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615E186-788D-4A0F-A60B-63C1801A6D2F}"/>
                </a:ext>
              </a:extLst>
            </xdr:cNvPr>
            <xdr:cNvSpPr txBox="1"/>
          </xdr:nvSpPr>
          <xdr:spPr>
            <a:xfrm>
              <a:off x="2198370" y="8953500"/>
              <a:ext cx="18396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𝑍</a:t>
              </a:r>
              <a:r>
                <a:rPr lang="en-MY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endParaRPr lang="en-MY" sz="1100"/>
            </a:p>
          </xdr:txBody>
        </xdr:sp>
      </mc:Fallback>
    </mc:AlternateContent>
    <xdr:clientData/>
  </xdr:oneCellAnchor>
  <xdr:oneCellAnchor>
    <xdr:from>
      <xdr:col>3</xdr:col>
      <xdr:colOff>83820</xdr:colOff>
      <xdr:row>13</xdr:row>
      <xdr:rowOff>7620</xdr:rowOff>
    </xdr:from>
    <xdr:ext cx="34714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900-00000D000000}"/>
                </a:ext>
              </a:extLst>
            </xdr:cNvPr>
            <xdr:cNvSpPr txBox="1"/>
          </xdr:nvSpPr>
          <xdr:spPr>
            <a:xfrm>
              <a:off x="2236470" y="9342120"/>
              <a:ext cx="34714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MY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𝑆𝑃𝐸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</m:oMath>
                </m:oMathPara>
              </a14:m>
              <a:endParaRPr lang="en-MY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BC58DAB-3C6C-4946-8363-0D876E42DC2A}"/>
                </a:ext>
              </a:extLst>
            </xdr:cNvPr>
            <xdr:cNvSpPr txBox="1"/>
          </xdr:nvSpPr>
          <xdr:spPr>
            <a:xfrm>
              <a:off x="2236470" y="9342120"/>
              <a:ext cx="34714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MY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𝑆𝑃𝐸</a:t>
              </a:r>
              <a:r>
                <a:rPr lang="en-MY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endParaRPr lang="en-MY" sz="1100"/>
            </a:p>
          </xdr:txBody>
        </xdr:sp>
      </mc:Fallback>
    </mc:AlternateContent>
    <xdr:clientData/>
  </xdr:oneCellAnchor>
  <xdr:twoCellAnchor>
    <xdr:from>
      <xdr:col>12</xdr:col>
      <xdr:colOff>22860</xdr:colOff>
      <xdr:row>4</xdr:row>
      <xdr:rowOff>167640</xdr:rowOff>
    </xdr:from>
    <xdr:to>
      <xdr:col>25</xdr:col>
      <xdr:colOff>15240</xdr:colOff>
      <xdr:row>28</xdr:row>
      <xdr:rowOff>7620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371475</xdr:colOff>
      <xdr:row>18</xdr:row>
      <xdr:rowOff>66675</xdr:rowOff>
    </xdr:from>
    <xdr:to>
      <xdr:col>21</xdr:col>
      <xdr:colOff>485775</xdr:colOff>
      <xdr:row>32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142875</xdr:colOff>
      <xdr:row>3</xdr:row>
      <xdr:rowOff>76200</xdr:rowOff>
    </xdr:from>
    <xdr:to>
      <xdr:col>18</xdr:col>
      <xdr:colOff>447675</xdr:colOff>
      <xdr:row>7</xdr:row>
      <xdr:rowOff>123825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B853F18E-538D-4187-BE01-6AA7C4ACED81}"/>
            </a:ext>
          </a:extLst>
        </xdr:cNvPr>
        <xdr:cNvSpPr/>
      </xdr:nvSpPr>
      <xdr:spPr>
        <a:xfrm>
          <a:off x="11306175" y="647700"/>
          <a:ext cx="304800" cy="952500"/>
        </a:xfrm>
        <a:prstGeom prst="rightBrac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3.w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7FECF-3066-423F-AFDF-572E2BD15513}">
  <sheetPr>
    <tabColor rgb="FFFF0000"/>
  </sheetPr>
  <dimension ref="B1:B2"/>
  <sheetViews>
    <sheetView tabSelected="1" zoomScaleNormal="100" workbookViewId="0">
      <selection activeCell="O31" sqref="O31"/>
    </sheetView>
  </sheetViews>
  <sheetFormatPr defaultRowHeight="14.25" x14ac:dyDescent="0.2"/>
  <cols>
    <col min="1" max="1" width="1.7109375" style="30" customWidth="1"/>
    <col min="2" max="16384" width="9.140625" style="30"/>
  </cols>
  <sheetData>
    <row r="1" spans="2:2" ht="20.25" x14ac:dyDescent="0.3">
      <c r="B1" s="31" t="s">
        <v>47</v>
      </c>
    </row>
    <row r="2" spans="2:2" x14ac:dyDescent="0.2">
      <c r="B2" s="33" t="s">
        <v>48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41D1A-C494-4955-A7B8-A83ABAFE0354}">
  <sheetPr>
    <tabColor theme="5" tint="0.79998168889431442"/>
  </sheetPr>
  <dimension ref="A1:AC55"/>
  <sheetViews>
    <sheetView topLeftCell="B20" workbookViewId="0">
      <selection activeCell="AH28" sqref="AH28"/>
    </sheetView>
  </sheetViews>
  <sheetFormatPr defaultColWidth="8.7109375" defaultRowHeight="15" x14ac:dyDescent="0.25"/>
  <cols>
    <col min="16" max="16" width="11.7109375" bestFit="1" customWidth="1"/>
    <col min="17" max="17" width="10.28515625" customWidth="1"/>
    <col min="18" max="29" width="9.5703125" bestFit="1" customWidth="1"/>
  </cols>
  <sheetData>
    <row r="1" spans="1:29" s="19" customFormat="1" ht="61.5" x14ac:dyDescent="0.25">
      <c r="A1" s="19" t="s">
        <v>4</v>
      </c>
      <c r="B1" s="20" t="s">
        <v>39</v>
      </c>
      <c r="P1" s="19" t="s">
        <v>3</v>
      </c>
      <c r="Q1" s="20" t="s">
        <v>38</v>
      </c>
    </row>
    <row r="2" spans="1:29" x14ac:dyDescent="0.25"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/>
      <c r="Q2" s="2" t="s">
        <v>5</v>
      </c>
      <c r="R2" s="2" t="s">
        <v>6</v>
      </c>
      <c r="S2" s="2" t="s">
        <v>7</v>
      </c>
      <c r="T2" s="2" t="s">
        <v>8</v>
      </c>
      <c r="U2" s="2" t="s">
        <v>9</v>
      </c>
      <c r="V2" s="2" t="s">
        <v>10</v>
      </c>
      <c r="W2" s="2" t="s">
        <v>11</v>
      </c>
      <c r="X2" s="2" t="s">
        <v>12</v>
      </c>
      <c r="Y2" s="2" t="s">
        <v>13</v>
      </c>
      <c r="Z2" s="2" t="s">
        <v>14</v>
      </c>
      <c r="AA2" s="2" t="s">
        <v>15</v>
      </c>
      <c r="AB2" s="2" t="s">
        <v>16</v>
      </c>
      <c r="AC2" s="2" t="s">
        <v>17</v>
      </c>
    </row>
    <row r="3" spans="1:29" x14ac:dyDescent="0.25">
      <c r="A3">
        <v>1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  <c r="Q3">
        <f>(B3-B$54)/B$55</f>
        <v>9.5586358022570442E-2</v>
      </c>
      <c r="R3">
        <f>(C3-C$54)/C$55</f>
        <v>-6.4706032195952862E-2</v>
      </c>
      <c r="S3">
        <f>(D3-D$54)/D$55</f>
        <v>0.38538246404034066</v>
      </c>
      <c r="T3">
        <f>(E3-E$54)/E$55</f>
        <v>0.26242839575579752</v>
      </c>
      <c r="U3">
        <f>(F3-F$54)/F$55</f>
        <v>7.5004623955139446E-2</v>
      </c>
      <c r="V3">
        <f>(G3-G$54)/G$55</f>
        <v>2.3290474538643767E-2</v>
      </c>
      <c r="W3">
        <f>(H3-H$54)/H$55</f>
        <v>8.4905537313897675E-2</v>
      </c>
      <c r="X3">
        <f>(I3-I$54)/I$55</f>
        <v>0.79399923338042055</v>
      </c>
      <c r="Y3">
        <f>(J3-J$54)/J$55</f>
        <v>-4.3296604858100281E-2</v>
      </c>
      <c r="Z3">
        <f>(K3-K$54)/K$55</f>
        <v>-0.27325105817775497</v>
      </c>
      <c r="AA3">
        <f>(L3-L$54)/L$55</f>
        <v>-2.4458049263860974E-2</v>
      </c>
      <c r="AB3">
        <f>(M3-M$54)/M$55</f>
        <v>0.1059214930806871</v>
      </c>
      <c r="AC3">
        <f>(N3-N$54)/N$55</f>
        <v>0.12927988194309009</v>
      </c>
    </row>
    <row r="4" spans="1:29" x14ac:dyDescent="0.25">
      <c r="A4">
        <v>2</v>
      </c>
      <c r="B4">
        <v>50</v>
      </c>
      <c r="C4">
        <v>30</v>
      </c>
      <c r="D4">
        <v>20</v>
      </c>
      <c r="E4">
        <v>300</v>
      </c>
      <c r="F4">
        <v>200</v>
      </c>
      <c r="G4">
        <v>300</v>
      </c>
      <c r="H4">
        <v>85.722999999999999</v>
      </c>
      <c r="I4">
        <v>0.11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  <c r="Q4">
        <f>(B4-B$54)/B$55</f>
        <v>9.5586358022570442E-2</v>
      </c>
      <c r="R4">
        <f>(C4-C$54)/C$55</f>
        <v>-6.4706032195952862E-2</v>
      </c>
      <c r="S4">
        <f>(D4-D$54)/D$55</f>
        <v>0.38538246404034066</v>
      </c>
      <c r="T4">
        <f>(E4-E$54)/E$55</f>
        <v>0.26242839575579752</v>
      </c>
      <c r="U4">
        <f>(F4-F$54)/F$55</f>
        <v>7.5004623955139446E-2</v>
      </c>
      <c r="V4">
        <f>(G4-G$54)/G$55</f>
        <v>2.3290474538643767E-2</v>
      </c>
      <c r="W4">
        <f>(H4-H$54)/H$55</f>
        <v>8.4905537313897675E-2</v>
      </c>
      <c r="X4">
        <f>(I4-I$54)/I$55</f>
        <v>0.79399923338042055</v>
      </c>
      <c r="Y4">
        <f>(J4-J$54)/J$55</f>
        <v>-4.3296604858100281E-2</v>
      </c>
      <c r="Z4">
        <f>(K4-K$54)/K$55</f>
        <v>-0.27325105817775497</v>
      </c>
      <c r="AA4">
        <f>(L4-L$54)/L$55</f>
        <v>-2.4458049263860974E-2</v>
      </c>
      <c r="AB4">
        <f>(M4-M$54)/M$55</f>
        <v>0.1059214930806871</v>
      </c>
      <c r="AC4">
        <f>(N4-N$54)/N$55</f>
        <v>0.12927988194309009</v>
      </c>
    </row>
    <row r="5" spans="1:29" x14ac:dyDescent="0.25">
      <c r="A5">
        <v>3</v>
      </c>
      <c r="B5">
        <v>50</v>
      </c>
      <c r="C5">
        <v>30</v>
      </c>
      <c r="D5">
        <v>20</v>
      </c>
      <c r="E5">
        <v>300</v>
      </c>
      <c r="F5">
        <v>200.2</v>
      </c>
      <c r="G5">
        <v>300</v>
      </c>
      <c r="H5">
        <v>85.722999999999999</v>
      </c>
      <c r="I5">
        <v>0.11</v>
      </c>
      <c r="J5">
        <v>0.8</v>
      </c>
      <c r="K5">
        <v>234.5</v>
      </c>
      <c r="L5">
        <v>24.766999999999999</v>
      </c>
      <c r="M5">
        <v>66.771000000000001</v>
      </c>
      <c r="N5">
        <v>21.495000000000001</v>
      </c>
      <c r="Q5">
        <f>(B5-B$54)/B$55</f>
        <v>9.5586358022570442E-2</v>
      </c>
      <c r="R5">
        <f>(C5-C$54)/C$55</f>
        <v>-6.4706032195952862E-2</v>
      </c>
      <c r="S5">
        <f>(D5-D$54)/D$55</f>
        <v>0.38538246404034066</v>
      </c>
      <c r="T5">
        <f>(E5-E$54)/E$55</f>
        <v>0.26242839575579752</v>
      </c>
      <c r="U5">
        <f>(F5-F$54)/F$55</f>
        <v>0.45381585605198499</v>
      </c>
      <c r="V5">
        <f>(G5-G$54)/G$55</f>
        <v>2.3290474538643767E-2</v>
      </c>
      <c r="W5">
        <f>(H5-H$54)/H$55</f>
        <v>8.4905537313897675E-2</v>
      </c>
      <c r="X5">
        <f>(I5-I$54)/I$55</f>
        <v>0.79399923338042055</v>
      </c>
      <c r="Y5">
        <f>(J5-J$54)/J$55</f>
        <v>-4.3296604858100281E-2</v>
      </c>
      <c r="Z5">
        <f>(K5-K$54)/K$55</f>
        <v>-0.27325105817775497</v>
      </c>
      <c r="AA5">
        <f>(L5-L$54)/L$55</f>
        <v>-2.4458049263860974E-2</v>
      </c>
      <c r="AB5">
        <f>(M5-M$54)/M$55</f>
        <v>0.1059214930806871</v>
      </c>
      <c r="AC5">
        <f>(N5-N$54)/N$55</f>
        <v>0.12927988194309009</v>
      </c>
    </row>
    <row r="6" spans="1:29" x14ac:dyDescent="0.25">
      <c r="A6">
        <v>4</v>
      </c>
      <c r="B6">
        <v>49.999000000000002</v>
      </c>
      <c r="C6">
        <v>30</v>
      </c>
      <c r="D6">
        <v>20</v>
      </c>
      <c r="E6">
        <v>300</v>
      </c>
      <c r="F6">
        <v>200.24</v>
      </c>
      <c r="G6">
        <v>300</v>
      </c>
      <c r="H6">
        <v>85.721000000000004</v>
      </c>
      <c r="I6">
        <v>0.11</v>
      </c>
      <c r="J6">
        <v>0.8</v>
      </c>
      <c r="K6">
        <v>234.5</v>
      </c>
      <c r="L6">
        <v>24.766999999999999</v>
      </c>
      <c r="M6">
        <v>66.718000000000004</v>
      </c>
      <c r="N6">
        <v>21.494</v>
      </c>
      <c r="Q6">
        <f>(B6-B$54)/B$55</f>
        <v>8.1103576504030342E-2</v>
      </c>
      <c r="R6">
        <f>(C6-C$54)/C$55</f>
        <v>-6.4706032195952862E-2</v>
      </c>
      <c r="S6">
        <f>(D6-D$54)/D$55</f>
        <v>0.38538246404034066</v>
      </c>
      <c r="T6">
        <f>(E6-E$54)/E$55</f>
        <v>0.26242839575579752</v>
      </c>
      <c r="U6">
        <f>(F6-F$54)/F$55</f>
        <v>0.52957810247139714</v>
      </c>
      <c r="V6">
        <f>(G6-G$54)/G$55</f>
        <v>2.3290474538643767E-2</v>
      </c>
      <c r="W6">
        <f>(H6-H$54)/H$55</f>
        <v>8.2648411820400475E-2</v>
      </c>
      <c r="X6">
        <f>(I6-I$54)/I$55</f>
        <v>0.79399923338042055</v>
      </c>
      <c r="Y6">
        <f>(J6-J$54)/J$55</f>
        <v>-4.3296604858100281E-2</v>
      </c>
      <c r="Z6">
        <f>(K6-K$54)/K$55</f>
        <v>-0.27325105817775497</v>
      </c>
      <c r="AA6">
        <f>(L6-L$54)/L$55</f>
        <v>-2.4458049263860974E-2</v>
      </c>
      <c r="AB6">
        <f>(M6-M$54)/M$55</f>
        <v>-0.20253120654974527</v>
      </c>
      <c r="AC6">
        <f>(N6-N$54)/N$55</f>
        <v>0.12438909195784807</v>
      </c>
    </row>
    <row r="7" spans="1:29" x14ac:dyDescent="0.25">
      <c r="A7">
        <v>5</v>
      </c>
      <c r="B7">
        <v>49.999000000000002</v>
      </c>
      <c r="C7">
        <v>30</v>
      </c>
      <c r="D7">
        <v>20</v>
      </c>
      <c r="E7">
        <v>300</v>
      </c>
      <c r="F7">
        <v>200.36799999999999</v>
      </c>
      <c r="G7">
        <v>300</v>
      </c>
      <c r="H7">
        <v>85.718999999999994</v>
      </c>
      <c r="I7">
        <v>0.11</v>
      </c>
      <c r="J7">
        <v>0.8</v>
      </c>
      <c r="K7">
        <v>234.5</v>
      </c>
      <c r="L7">
        <v>24.766999999999999</v>
      </c>
      <c r="M7">
        <v>66.694000000000003</v>
      </c>
      <c r="N7">
        <v>21.494</v>
      </c>
      <c r="Q7">
        <f>(B7-B$54)/B$55</f>
        <v>8.1103576504030342E-2</v>
      </c>
      <c r="R7">
        <f>(C7-C$54)/C$55</f>
        <v>-6.4706032195952862E-2</v>
      </c>
      <c r="S7">
        <f>(D7-D$54)/D$55</f>
        <v>0.38538246404034066</v>
      </c>
      <c r="T7">
        <f>(E7-E$54)/E$55</f>
        <v>0.26242839575579752</v>
      </c>
      <c r="U7">
        <f>(F7-F$54)/F$55</f>
        <v>0.77201729101336536</v>
      </c>
      <c r="V7">
        <f>(G7-G$54)/G$55</f>
        <v>2.3290474538643767E-2</v>
      </c>
      <c r="W7">
        <f>(H7-H$54)/H$55</f>
        <v>8.0391286326887232E-2</v>
      </c>
      <c r="X7">
        <f>(I7-I$54)/I$55</f>
        <v>0.79399923338042055</v>
      </c>
      <c r="Y7">
        <f>(J7-J$54)/J$55</f>
        <v>-4.3296604858100281E-2</v>
      </c>
      <c r="Z7">
        <f>(K7-K$54)/K$55</f>
        <v>-0.27325105817775497</v>
      </c>
      <c r="AA7">
        <f>(L7-L$54)/L$55</f>
        <v>-2.4458049263860974E-2</v>
      </c>
      <c r="AB7">
        <f>(M7-M$54)/M$55</f>
        <v>-0.342207900722029</v>
      </c>
      <c r="AC7">
        <f>(N7-N$54)/N$55</f>
        <v>0.12438909195784807</v>
      </c>
    </row>
    <row r="8" spans="1:29" x14ac:dyDescent="0.25">
      <c r="A8">
        <v>6</v>
      </c>
      <c r="B8">
        <v>49.999000000000002</v>
      </c>
      <c r="C8">
        <v>30</v>
      </c>
      <c r="D8">
        <v>20</v>
      </c>
      <c r="E8">
        <v>300</v>
      </c>
      <c r="F8">
        <v>200.417</v>
      </c>
      <c r="G8">
        <v>300</v>
      </c>
      <c r="H8">
        <v>85.715000000000003</v>
      </c>
      <c r="I8">
        <v>0.11</v>
      </c>
      <c r="J8">
        <v>0.8</v>
      </c>
      <c r="K8">
        <v>234.5</v>
      </c>
      <c r="L8">
        <v>24.766999999999999</v>
      </c>
      <c r="M8">
        <v>66.644000000000005</v>
      </c>
      <c r="N8">
        <v>21.492999999999999</v>
      </c>
      <c r="Q8">
        <f>(B8-B$54)/B$55</f>
        <v>8.1103576504030342E-2</v>
      </c>
      <c r="R8">
        <f>(C8-C$54)/C$55</f>
        <v>-6.4706032195952862E-2</v>
      </c>
      <c r="S8">
        <f>(D8-D$54)/D$55</f>
        <v>0.38538246404034066</v>
      </c>
      <c r="T8">
        <f>(E8-E$54)/E$55</f>
        <v>0.26242839575579752</v>
      </c>
      <c r="U8">
        <f>(F8-F$54)/F$55</f>
        <v>0.86482604287711029</v>
      </c>
      <c r="V8">
        <f>(G8-G$54)/G$55</f>
        <v>2.3290474538643767E-2</v>
      </c>
      <c r="W8">
        <f>(H8-H$54)/H$55</f>
        <v>7.5877035339892818E-2</v>
      </c>
      <c r="X8">
        <f>(I8-I$54)/I$55</f>
        <v>0.79399923338042055</v>
      </c>
      <c r="Y8">
        <f>(J8-J$54)/J$55</f>
        <v>-4.3296604858100281E-2</v>
      </c>
      <c r="Z8">
        <f>(K8-K$54)/K$55</f>
        <v>-0.27325105817775497</v>
      </c>
      <c r="AA8">
        <f>(L8-L$54)/L$55</f>
        <v>-2.4458049263860974E-2</v>
      </c>
      <c r="AB8">
        <f>(M8-M$54)/M$55</f>
        <v>-0.63320101358092584</v>
      </c>
      <c r="AC8">
        <f>(N8-N$54)/N$55</f>
        <v>0.11949830197260604</v>
      </c>
    </row>
    <row r="9" spans="1:29" x14ac:dyDescent="0.25">
      <c r="A9">
        <v>7</v>
      </c>
      <c r="B9">
        <v>49.997999999999998</v>
      </c>
      <c r="C9">
        <v>30</v>
      </c>
      <c r="D9">
        <v>20</v>
      </c>
      <c r="E9">
        <v>300</v>
      </c>
      <c r="F9">
        <v>200.50399999999999</v>
      </c>
      <c r="G9">
        <v>300</v>
      </c>
      <c r="H9">
        <v>85.712000000000003</v>
      </c>
      <c r="I9">
        <v>0.11</v>
      </c>
      <c r="J9">
        <v>0.8</v>
      </c>
      <c r="K9">
        <v>234.5</v>
      </c>
      <c r="L9">
        <v>24.766999999999999</v>
      </c>
      <c r="M9">
        <v>66.605999999999995</v>
      </c>
      <c r="N9">
        <v>21.492000000000001</v>
      </c>
      <c r="Q9">
        <f>(B9-B$54)/B$55</f>
        <v>6.6620794985387338E-2</v>
      </c>
      <c r="R9">
        <f>(C9-C$54)/C$55</f>
        <v>-6.4706032195952862E-2</v>
      </c>
      <c r="S9">
        <f>(D9-D$54)/D$55</f>
        <v>0.38538246404034066</v>
      </c>
      <c r="T9">
        <f>(E9-E$54)/E$55</f>
        <v>0.26242839575579752</v>
      </c>
      <c r="U9">
        <f>(F9-F$54)/F$55</f>
        <v>1.0296089288392267</v>
      </c>
      <c r="V9">
        <f>(G9-G$54)/G$55</f>
        <v>2.3290474538643767E-2</v>
      </c>
      <c r="W9">
        <f>(H9-H$54)/H$55</f>
        <v>7.2491347099638989E-2</v>
      </c>
      <c r="X9">
        <f>(I9-I$54)/I$55</f>
        <v>0.79399923338042055</v>
      </c>
      <c r="Y9">
        <f>(J9-J$54)/J$55</f>
        <v>-4.3296604858100281E-2</v>
      </c>
      <c r="Z9">
        <f>(K9-K$54)/K$55</f>
        <v>-0.27325105817775497</v>
      </c>
      <c r="AA9">
        <f>(L9-L$54)/L$55</f>
        <v>-2.4458049263860974E-2</v>
      </c>
      <c r="AB9">
        <f>(M9-M$54)/M$55</f>
        <v>-0.85435577935376361</v>
      </c>
      <c r="AC9">
        <f>(N9-N$54)/N$55</f>
        <v>0.11460751198738139</v>
      </c>
    </row>
    <row r="10" spans="1:29" x14ac:dyDescent="0.25">
      <c r="A10">
        <v>8</v>
      </c>
      <c r="B10">
        <v>49.997999999999998</v>
      </c>
      <c r="C10">
        <v>30</v>
      </c>
      <c r="D10">
        <v>20</v>
      </c>
      <c r="E10">
        <v>300</v>
      </c>
      <c r="F10">
        <v>200.55099999999999</v>
      </c>
      <c r="G10">
        <v>300</v>
      </c>
      <c r="H10">
        <v>85.706999999999994</v>
      </c>
      <c r="I10">
        <v>0.11</v>
      </c>
      <c r="J10">
        <v>0.8</v>
      </c>
      <c r="K10">
        <v>234.5</v>
      </c>
      <c r="L10">
        <v>24.766999999999999</v>
      </c>
      <c r="M10">
        <v>66.555000000000007</v>
      </c>
      <c r="N10">
        <v>21.491</v>
      </c>
      <c r="Q10">
        <f>(B10-B$54)/B$55</f>
        <v>6.6620794985387338E-2</v>
      </c>
      <c r="R10">
        <f>(C10-C$54)/C$55</f>
        <v>-6.4706032195952862E-2</v>
      </c>
      <c r="S10">
        <f>(D10-D$54)/D$55</f>
        <v>0.38538246404034066</v>
      </c>
      <c r="T10">
        <f>(E10-E$54)/E$55</f>
        <v>0.26242839575579752</v>
      </c>
      <c r="U10">
        <f>(F10-F$54)/F$55</f>
        <v>1.1186295683819849</v>
      </c>
      <c r="V10">
        <f>(G10-G$54)/G$55</f>
        <v>2.3290474538643767E-2</v>
      </c>
      <c r="W10">
        <f>(H10-H$54)/H$55</f>
        <v>6.6848533365871904E-2</v>
      </c>
      <c r="X10">
        <f>(I10-I$54)/I$55</f>
        <v>0.79399923338042055</v>
      </c>
      <c r="Y10">
        <f>(J10-J$54)/J$55</f>
        <v>-4.3296604858100281E-2</v>
      </c>
      <c r="Z10">
        <f>(K10-K$54)/K$55</f>
        <v>-0.27325105817775497</v>
      </c>
      <c r="AA10">
        <f>(L10-L$54)/L$55</f>
        <v>-2.4458049263860974E-2</v>
      </c>
      <c r="AB10">
        <f>(M10-M$54)/M$55</f>
        <v>-1.151168754469784</v>
      </c>
      <c r="AC10">
        <f>(N10-N$54)/N$55</f>
        <v>0.10971672200213937</v>
      </c>
    </row>
    <row r="11" spans="1:29" x14ac:dyDescent="0.25">
      <c r="A11">
        <v>9</v>
      </c>
      <c r="B11">
        <v>49.997</v>
      </c>
      <c r="C11">
        <v>30</v>
      </c>
      <c r="D11">
        <v>20</v>
      </c>
      <c r="E11">
        <v>300</v>
      </c>
      <c r="F11">
        <v>200.613</v>
      </c>
      <c r="G11">
        <v>300</v>
      </c>
      <c r="H11">
        <v>85.701999999999998</v>
      </c>
      <c r="I11">
        <v>0.11</v>
      </c>
      <c r="J11">
        <v>0.8</v>
      </c>
      <c r="K11">
        <v>234.5</v>
      </c>
      <c r="L11">
        <v>24.766999999999999</v>
      </c>
      <c r="M11">
        <v>66.509</v>
      </c>
      <c r="N11">
        <v>21.49</v>
      </c>
      <c r="Q11">
        <f>(B11-B$54)/B$55</f>
        <v>5.2138013466847252E-2</v>
      </c>
      <c r="R11">
        <f>(C11-C$54)/C$55</f>
        <v>-6.4706032195952862E-2</v>
      </c>
      <c r="S11">
        <f>(D11-D$54)/D$55</f>
        <v>0.38538246404034066</v>
      </c>
      <c r="T11">
        <f>(E11-E$54)/E$55</f>
        <v>0.26242839575579752</v>
      </c>
      <c r="U11">
        <f>(F11-F$54)/F$55</f>
        <v>1.2360610503320362</v>
      </c>
      <c r="V11">
        <f>(G11-G$54)/G$55</f>
        <v>2.3290474538643767E-2</v>
      </c>
      <c r="W11">
        <f>(H11-H$54)/H$55</f>
        <v>6.1205719632120875E-2</v>
      </c>
      <c r="X11">
        <f>(I11-I$54)/I$55</f>
        <v>0.79399923338042055</v>
      </c>
      <c r="Y11">
        <f>(J11-J$54)/J$55</f>
        <v>-4.3296604858100281E-2</v>
      </c>
      <c r="Z11">
        <f>(K11-K$54)/K$55</f>
        <v>-0.27325105817775497</v>
      </c>
      <c r="AA11">
        <f>(L11-L$54)/L$55</f>
        <v>-2.4458049263860974E-2</v>
      </c>
      <c r="AB11">
        <f>(M11-M$54)/M$55</f>
        <v>-1.4188824183000219</v>
      </c>
      <c r="AC11">
        <f>(N11-N$54)/N$55</f>
        <v>0.10482593201689734</v>
      </c>
    </row>
    <row r="12" spans="1:29" x14ac:dyDescent="0.25">
      <c r="A12">
        <v>10</v>
      </c>
      <c r="B12">
        <v>49.997</v>
      </c>
      <c r="C12">
        <v>30</v>
      </c>
      <c r="D12">
        <v>20</v>
      </c>
      <c r="E12">
        <v>300</v>
      </c>
      <c r="F12">
        <v>200.65299999999999</v>
      </c>
      <c r="G12">
        <v>300</v>
      </c>
      <c r="H12">
        <v>85.697000000000003</v>
      </c>
      <c r="I12">
        <v>0.11</v>
      </c>
      <c r="J12">
        <v>0.8</v>
      </c>
      <c r="K12">
        <v>234.5</v>
      </c>
      <c r="L12">
        <v>24.766999999999999</v>
      </c>
      <c r="M12">
        <v>66.456000000000003</v>
      </c>
      <c r="N12">
        <v>21.488</v>
      </c>
      <c r="Q12">
        <f>(B12-B$54)/B$55</f>
        <v>5.2138013466847252E-2</v>
      </c>
      <c r="R12">
        <f>(C12-C$54)/C$55</f>
        <v>-6.4706032195952862E-2</v>
      </c>
      <c r="S12">
        <f>(D12-D$54)/D$55</f>
        <v>0.38538246404034066</v>
      </c>
      <c r="T12">
        <f>(E12-E$54)/E$55</f>
        <v>0.26242839575579752</v>
      </c>
      <c r="U12">
        <f>(F12-F$54)/F$55</f>
        <v>1.3118232967513945</v>
      </c>
      <c r="V12">
        <f>(G12-G$54)/G$55</f>
        <v>2.3290474538643767E-2</v>
      </c>
      <c r="W12">
        <f>(H12-H$54)/H$55</f>
        <v>5.556290589836984E-2</v>
      </c>
      <c r="X12">
        <f>(I12-I$54)/I$55</f>
        <v>0.79399923338042055</v>
      </c>
      <c r="Y12">
        <f>(J12-J$54)/J$55</f>
        <v>-4.3296604858100281E-2</v>
      </c>
      <c r="Z12">
        <f>(K12-K$54)/K$55</f>
        <v>-0.27325105817775497</v>
      </c>
      <c r="AA12">
        <f>(L12-L$54)/L$55</f>
        <v>-2.4458049263860974E-2</v>
      </c>
      <c r="AB12">
        <f>(M12-M$54)/M$55</f>
        <v>-1.7273351179304544</v>
      </c>
      <c r="AC12">
        <f>(N12-N$54)/N$55</f>
        <v>9.5044352046430677E-2</v>
      </c>
    </row>
    <row r="13" spans="1:29" x14ac:dyDescent="0.25">
      <c r="A13">
        <v>11</v>
      </c>
      <c r="B13">
        <v>49.997</v>
      </c>
      <c r="C13">
        <v>30</v>
      </c>
      <c r="D13">
        <v>20</v>
      </c>
      <c r="E13">
        <v>300</v>
      </c>
      <c r="F13">
        <v>200.69800000000001</v>
      </c>
      <c r="G13">
        <v>300</v>
      </c>
      <c r="H13">
        <v>85.691000000000003</v>
      </c>
      <c r="I13">
        <v>0.11</v>
      </c>
      <c r="J13">
        <v>0.8</v>
      </c>
      <c r="K13">
        <v>234.5</v>
      </c>
      <c r="L13">
        <v>24.766999999999999</v>
      </c>
      <c r="M13">
        <v>66.403999999999996</v>
      </c>
      <c r="N13">
        <v>21.486999999999998</v>
      </c>
      <c r="Q13">
        <f>(B13-B$54)/B$55</f>
        <v>5.2138013466847252E-2</v>
      </c>
      <c r="R13">
        <f>(C13-C$54)/C$55</f>
        <v>-6.4706032195952862E-2</v>
      </c>
      <c r="S13">
        <f>(D13-D$54)/D$55</f>
        <v>0.38538246404034066</v>
      </c>
      <c r="T13">
        <f>(E13-E$54)/E$55</f>
        <v>0.26242839575579752</v>
      </c>
      <c r="U13">
        <f>(F13-F$54)/F$55</f>
        <v>1.3970558239732196</v>
      </c>
      <c r="V13">
        <f>(G13-G$54)/G$55</f>
        <v>2.3290474538643767E-2</v>
      </c>
      <c r="W13">
        <f>(H13-H$54)/H$55</f>
        <v>4.8791529417862183E-2</v>
      </c>
      <c r="X13">
        <f>(I13-I$54)/I$55</f>
        <v>0.79399923338042055</v>
      </c>
      <c r="Y13">
        <f>(J13-J$54)/J$55</f>
        <v>-4.3296604858100281E-2</v>
      </c>
      <c r="Z13">
        <f>(K13-K$54)/K$55</f>
        <v>-0.27325105817775497</v>
      </c>
      <c r="AA13">
        <f>(L13-L$54)/L$55</f>
        <v>-2.4458049263860974E-2</v>
      </c>
      <c r="AB13">
        <f>(M13-M$54)/M$55</f>
        <v>-2.0299679553037633</v>
      </c>
      <c r="AC13">
        <f>(N13-N$54)/N$55</f>
        <v>9.0153562061188658E-2</v>
      </c>
    </row>
    <row r="14" spans="1:29" x14ac:dyDescent="0.25">
      <c r="A14">
        <v>12</v>
      </c>
      <c r="B14">
        <v>49.996000000000002</v>
      </c>
      <c r="C14">
        <v>30</v>
      </c>
      <c r="D14">
        <v>20</v>
      </c>
      <c r="E14">
        <v>300</v>
      </c>
      <c r="F14">
        <v>200.73099999999999</v>
      </c>
      <c r="G14">
        <v>300</v>
      </c>
      <c r="H14">
        <v>85.685000000000002</v>
      </c>
      <c r="I14">
        <v>0.11</v>
      </c>
      <c r="J14">
        <v>0.8</v>
      </c>
      <c r="K14">
        <v>234.5</v>
      </c>
      <c r="L14">
        <v>24.766999999999999</v>
      </c>
      <c r="M14">
        <v>66.349000000000004</v>
      </c>
      <c r="N14">
        <v>21.484999999999999</v>
      </c>
      <c r="Q14">
        <f>(B14-B$54)/B$55</f>
        <v>3.7655231948307152E-2</v>
      </c>
      <c r="R14">
        <f>(C14-C$54)/C$55</f>
        <v>-6.4706032195952862E-2</v>
      </c>
      <c r="S14">
        <f>(D14-D$54)/D$55</f>
        <v>0.38538246404034066</v>
      </c>
      <c r="T14">
        <f>(E14-E$54)/E$55</f>
        <v>0.26242839575579752</v>
      </c>
      <c r="U14">
        <f>(F14-F$54)/F$55</f>
        <v>1.4595596772691781</v>
      </c>
      <c r="V14">
        <f>(G14-G$54)/G$55</f>
        <v>2.3290474538643767E-2</v>
      </c>
      <c r="W14">
        <f>(H14-H$54)/H$55</f>
        <v>4.2020152937354525E-2</v>
      </c>
      <c r="X14">
        <f>(I14-I$54)/I$55</f>
        <v>0.79399923338042055</v>
      </c>
      <c r="Y14">
        <f>(J14-J$54)/J$55</f>
        <v>-4.3296604858100281E-2</v>
      </c>
      <c r="Z14">
        <f>(K14-K$54)/K$55</f>
        <v>-0.27325105817775497</v>
      </c>
      <c r="AA14">
        <f>(L14-L$54)/L$55</f>
        <v>-2.4458049263860974E-2</v>
      </c>
      <c r="AB14">
        <f>(M14-M$54)/M$55</f>
        <v>-2.3500603794485251</v>
      </c>
      <c r="AC14">
        <f>(N14-N$54)/N$55</f>
        <v>8.037198209072198E-2</v>
      </c>
    </row>
    <row r="15" spans="1:29" x14ac:dyDescent="0.25">
      <c r="A15">
        <v>13</v>
      </c>
      <c r="B15">
        <v>49.996000000000002</v>
      </c>
      <c r="C15">
        <v>30</v>
      </c>
      <c r="D15">
        <v>20</v>
      </c>
      <c r="E15">
        <v>300</v>
      </c>
      <c r="F15">
        <v>200.76499999999999</v>
      </c>
      <c r="G15">
        <v>300</v>
      </c>
      <c r="H15">
        <v>85.677999999999997</v>
      </c>
      <c r="I15">
        <v>0.11</v>
      </c>
      <c r="J15">
        <v>0.8</v>
      </c>
      <c r="K15">
        <v>234.5</v>
      </c>
      <c r="L15">
        <v>24.766999999999999</v>
      </c>
      <c r="M15">
        <v>66.293000000000006</v>
      </c>
      <c r="N15">
        <v>21.484000000000002</v>
      </c>
      <c r="Q15">
        <f>(B15-B$54)/B$55</f>
        <v>3.7655231948307152E-2</v>
      </c>
      <c r="R15">
        <f>(C15-C$54)/C$55</f>
        <v>-6.4706032195952862E-2</v>
      </c>
      <c r="S15">
        <f>(D15-D$54)/D$55</f>
        <v>0.38538246404034066</v>
      </c>
      <c r="T15">
        <f>(E15-E$54)/E$55</f>
        <v>0.26242839575579752</v>
      </c>
      <c r="U15">
        <f>(F15-F$54)/F$55</f>
        <v>1.5239575867256301</v>
      </c>
      <c r="V15">
        <f>(G15-G$54)/G$55</f>
        <v>2.3290474538643767E-2</v>
      </c>
      <c r="W15">
        <f>(H15-H$54)/H$55</f>
        <v>3.412021371009024E-2</v>
      </c>
      <c r="X15">
        <f>(I15-I$54)/I$55</f>
        <v>0.79399923338042055</v>
      </c>
      <c r="Y15">
        <f>(J15-J$54)/J$55</f>
        <v>-4.3296604858100281E-2</v>
      </c>
      <c r="Z15">
        <f>(K15-K$54)/K$55</f>
        <v>-0.27325105817775497</v>
      </c>
      <c r="AA15">
        <f>(L15-L$54)/L$55</f>
        <v>-2.4458049263860974E-2</v>
      </c>
      <c r="AB15">
        <f>(M15-M$54)/M$55</f>
        <v>-2.6759726658504928</v>
      </c>
      <c r="AC15">
        <f>(N15-N$54)/N$55</f>
        <v>7.5481192105497336E-2</v>
      </c>
    </row>
    <row r="16" spans="1:29" x14ac:dyDescent="0.25">
      <c r="A16">
        <v>14</v>
      </c>
      <c r="B16">
        <v>49.996000000000002</v>
      </c>
      <c r="C16">
        <v>30</v>
      </c>
      <c r="D16">
        <v>20</v>
      </c>
      <c r="E16">
        <v>300</v>
      </c>
      <c r="F16">
        <v>200.792</v>
      </c>
      <c r="G16">
        <v>300</v>
      </c>
      <c r="H16">
        <v>85.671999999999997</v>
      </c>
      <c r="I16">
        <v>0.11</v>
      </c>
      <c r="J16">
        <v>0.8</v>
      </c>
      <c r="K16">
        <v>234.5</v>
      </c>
      <c r="L16">
        <v>24.766999999999999</v>
      </c>
      <c r="M16">
        <v>66.236000000000004</v>
      </c>
      <c r="N16">
        <v>21.481999999999999</v>
      </c>
      <c r="Q16">
        <f>(B16-B$54)/B$55</f>
        <v>3.7655231948307152E-2</v>
      </c>
      <c r="R16">
        <f>(C16-C$54)/C$55</f>
        <v>-6.4706032195952862E-2</v>
      </c>
      <c r="S16">
        <f>(D16-D$54)/D$55</f>
        <v>0.38538246404034066</v>
      </c>
      <c r="T16">
        <f>(E16-E$54)/E$55</f>
        <v>0.26242839575579752</v>
      </c>
      <c r="U16">
        <f>(F16-F$54)/F$55</f>
        <v>1.575097103058736</v>
      </c>
      <c r="V16">
        <f>(G16-G$54)/G$55</f>
        <v>2.3290474538643767E-2</v>
      </c>
      <c r="W16">
        <f>(H16-H$54)/H$55</f>
        <v>2.7348837229582586E-2</v>
      </c>
      <c r="X16">
        <f>(I16-I$54)/I$55</f>
        <v>0.79399923338042055</v>
      </c>
      <c r="Y16">
        <f>(J16-J$54)/J$55</f>
        <v>-4.3296604858100281E-2</v>
      </c>
      <c r="Z16">
        <f>(K16-K$54)/K$55</f>
        <v>-0.27325105817775497</v>
      </c>
      <c r="AA16">
        <f>(L16-L$54)/L$55</f>
        <v>-2.4458049263860974E-2</v>
      </c>
      <c r="AB16">
        <f>(M16-M$54)/M$55</f>
        <v>-3.0077048145096668</v>
      </c>
      <c r="AC16">
        <f>(N16-N$54)/N$55</f>
        <v>6.5699612135013283E-2</v>
      </c>
    </row>
    <row r="17" spans="1:29" x14ac:dyDescent="0.25">
      <c r="A17">
        <v>15</v>
      </c>
      <c r="B17">
        <v>49.996000000000002</v>
      </c>
      <c r="C17">
        <v>30</v>
      </c>
      <c r="D17">
        <v>20</v>
      </c>
      <c r="E17">
        <v>300</v>
      </c>
      <c r="F17">
        <v>200.81700000000001</v>
      </c>
      <c r="G17">
        <v>300</v>
      </c>
      <c r="H17">
        <v>85.665000000000006</v>
      </c>
      <c r="I17">
        <v>0.11</v>
      </c>
      <c r="J17">
        <v>0.8</v>
      </c>
      <c r="K17">
        <v>234.5</v>
      </c>
      <c r="L17">
        <v>24.766999999999999</v>
      </c>
      <c r="M17">
        <v>66.177999999999997</v>
      </c>
      <c r="N17">
        <v>21.48</v>
      </c>
      <c r="Q17">
        <f>(B17-B$54)/B$55</f>
        <v>3.7655231948307152E-2</v>
      </c>
      <c r="R17">
        <f>(C17-C$54)/C$55</f>
        <v>-6.4706032195952862E-2</v>
      </c>
      <c r="S17">
        <f>(D17-D$54)/D$55</f>
        <v>0.38538246404034066</v>
      </c>
      <c r="T17">
        <f>(E17-E$54)/E$55</f>
        <v>0.26242839575579752</v>
      </c>
      <c r="U17">
        <f>(F17-F$54)/F$55</f>
        <v>1.6224485070708552</v>
      </c>
      <c r="V17">
        <f>(G17-G$54)/G$55</f>
        <v>2.3290474538643767E-2</v>
      </c>
      <c r="W17">
        <f>(H17-H$54)/H$55</f>
        <v>1.9448898002334344E-2</v>
      </c>
      <c r="X17">
        <f>(I17-I$54)/I$55</f>
        <v>0.79399923338042055</v>
      </c>
      <c r="Y17">
        <f>(J17-J$54)/J$55</f>
        <v>-4.3296604858100281E-2</v>
      </c>
      <c r="Z17">
        <f>(K17-K$54)/K$55</f>
        <v>-0.27325105817775497</v>
      </c>
      <c r="AA17">
        <f>(L17-L$54)/L$55</f>
        <v>-2.4458049263860974E-2</v>
      </c>
      <c r="AB17">
        <f>(M17-M$54)/M$55</f>
        <v>-3.3452568254260466</v>
      </c>
      <c r="AC17">
        <f>(N17-N$54)/N$55</f>
        <v>5.5918032164546612E-2</v>
      </c>
    </row>
    <row r="18" spans="1:29" x14ac:dyDescent="0.25">
      <c r="A18">
        <v>16</v>
      </c>
      <c r="B18">
        <v>49.996000000000002</v>
      </c>
      <c r="C18">
        <v>30</v>
      </c>
      <c r="D18">
        <v>20</v>
      </c>
      <c r="E18">
        <v>300</v>
      </c>
      <c r="F18">
        <v>200.839</v>
      </c>
      <c r="G18">
        <v>300</v>
      </c>
      <c r="H18">
        <v>85.658000000000001</v>
      </c>
      <c r="I18">
        <v>0.11</v>
      </c>
      <c r="J18">
        <v>0.8</v>
      </c>
      <c r="K18">
        <v>234.5</v>
      </c>
      <c r="L18">
        <v>24.766999999999999</v>
      </c>
      <c r="M18">
        <v>66.117999999999995</v>
      </c>
      <c r="N18">
        <v>21.478999999999999</v>
      </c>
      <c r="Q18">
        <f>(B18-B$54)/B$55</f>
        <v>3.7655231948307152E-2</v>
      </c>
      <c r="R18">
        <f>(C18-C$54)/C$55</f>
        <v>-6.4706032195952862E-2</v>
      </c>
      <c r="S18">
        <f>(D18-D$54)/D$55</f>
        <v>0.38538246404034066</v>
      </c>
      <c r="T18">
        <f>(E18-E$54)/E$55</f>
        <v>0.26242839575579752</v>
      </c>
      <c r="U18">
        <f>(F18-F$54)/F$55</f>
        <v>1.6641177426014941</v>
      </c>
      <c r="V18">
        <f>(G18-G$54)/G$55</f>
        <v>2.3290474538643767E-2</v>
      </c>
      <c r="W18">
        <f>(H18-H$54)/H$55</f>
        <v>1.1548958775070063E-2</v>
      </c>
      <c r="X18">
        <f>(I18-I$54)/I$55</f>
        <v>0.79399923338042055</v>
      </c>
      <c r="Y18">
        <f>(J18-J$54)/J$55</f>
        <v>-4.3296604858100281E-2</v>
      </c>
      <c r="Z18">
        <f>(K18-K$54)/K$55</f>
        <v>-0.27325105817775497</v>
      </c>
      <c r="AA18">
        <f>(L18-L$54)/L$55</f>
        <v>-2.4458049263860974E-2</v>
      </c>
      <c r="AB18">
        <f>(M18-M$54)/M$55</f>
        <v>-3.6944485608567561</v>
      </c>
      <c r="AC18">
        <f>(N18-N$54)/N$55</f>
        <v>5.1027242179304586E-2</v>
      </c>
    </row>
    <row r="19" spans="1:29" x14ac:dyDescent="0.25">
      <c r="A19">
        <v>17</v>
      </c>
      <c r="B19">
        <v>49.996000000000002</v>
      </c>
      <c r="C19">
        <v>30</v>
      </c>
      <c r="D19">
        <v>20</v>
      </c>
      <c r="E19">
        <v>300</v>
      </c>
      <c r="F19">
        <v>200.858</v>
      </c>
      <c r="G19">
        <v>300</v>
      </c>
      <c r="H19">
        <v>85.652000000000001</v>
      </c>
      <c r="I19">
        <v>0.11</v>
      </c>
      <c r="J19">
        <v>0.8</v>
      </c>
      <c r="K19">
        <v>234.5</v>
      </c>
      <c r="L19">
        <v>24.766999999999999</v>
      </c>
      <c r="M19">
        <v>66.058000000000007</v>
      </c>
      <c r="N19">
        <v>21.477</v>
      </c>
      <c r="Q19">
        <f>(B19-B$54)/B$55</f>
        <v>3.7655231948307152E-2</v>
      </c>
      <c r="R19">
        <f>(C19-C$54)/C$55</f>
        <v>-6.4706032195952862E-2</v>
      </c>
      <c r="S19">
        <f>(D19-D$54)/D$55</f>
        <v>0.38538246404034066</v>
      </c>
      <c r="T19">
        <f>(E19-E$54)/E$55</f>
        <v>0.26242839575579752</v>
      </c>
      <c r="U19">
        <f>(F19-F$54)/F$55</f>
        <v>1.7001048096507068</v>
      </c>
      <c r="V19">
        <f>(G19-G$54)/G$55</f>
        <v>2.3290474538643767E-2</v>
      </c>
      <c r="W19">
        <f>(H19-H$54)/H$55</f>
        <v>4.7775822945624047E-3</v>
      </c>
      <c r="X19">
        <f>(I19-I$54)/I$55</f>
        <v>0.79399923338042055</v>
      </c>
      <c r="Y19">
        <f>(J19-J$54)/J$55</f>
        <v>-4.3296604858100281E-2</v>
      </c>
      <c r="Z19">
        <f>(K19-K$54)/K$55</f>
        <v>-0.27325105817775497</v>
      </c>
      <c r="AA19">
        <f>(L19-L$54)/L$55</f>
        <v>-2.4458049263860974E-2</v>
      </c>
      <c r="AB19">
        <f>(M19-M$54)/M$55</f>
        <v>-4.043640296287383</v>
      </c>
      <c r="AC19">
        <f>(N19-N$54)/N$55</f>
        <v>4.1245662208837915E-2</v>
      </c>
    </row>
    <row r="20" spans="1:29" x14ac:dyDescent="0.25">
      <c r="A20">
        <v>18</v>
      </c>
      <c r="B20">
        <v>49.994999999999997</v>
      </c>
      <c r="C20">
        <v>30</v>
      </c>
      <c r="D20">
        <v>20</v>
      </c>
      <c r="E20">
        <v>300</v>
      </c>
      <c r="F20">
        <v>200.875</v>
      </c>
      <c r="G20">
        <v>300</v>
      </c>
      <c r="H20">
        <v>85.644999999999996</v>
      </c>
      <c r="I20">
        <v>0.11</v>
      </c>
      <c r="J20">
        <v>0.8</v>
      </c>
      <c r="K20">
        <v>234.5</v>
      </c>
      <c r="L20">
        <v>24.766999999999999</v>
      </c>
      <c r="M20">
        <v>65.997</v>
      </c>
      <c r="N20">
        <v>21.475000000000001</v>
      </c>
      <c r="Q20">
        <f>(B20-B$54)/B$55</f>
        <v>2.3172450429664152E-2</v>
      </c>
      <c r="R20">
        <f>(C20-C$54)/C$55</f>
        <v>-6.4706032195952862E-2</v>
      </c>
      <c r="S20">
        <f>(D20-D$54)/D$55</f>
        <v>0.38538246404034066</v>
      </c>
      <c r="T20">
        <f>(E20-E$54)/E$55</f>
        <v>0.26242839575579752</v>
      </c>
      <c r="U20">
        <f>(F20-F$54)/F$55</f>
        <v>1.7323037643789327</v>
      </c>
      <c r="V20">
        <f>(G20-G$54)/G$55</f>
        <v>2.3290474538643767E-2</v>
      </c>
      <c r="W20">
        <f>(H20-H$54)/H$55</f>
        <v>-3.1223569327018751E-3</v>
      </c>
      <c r="X20">
        <f>(I20-I$54)/I$55</f>
        <v>0.79399923338042055</v>
      </c>
      <c r="Y20">
        <f>(J20-J$54)/J$55</f>
        <v>-4.3296604858100281E-2</v>
      </c>
      <c r="Z20">
        <f>(K20-K$54)/K$55</f>
        <v>-0.27325105817775497</v>
      </c>
      <c r="AA20">
        <f>(L20-L$54)/L$55</f>
        <v>-2.4458049263860974E-2</v>
      </c>
      <c r="AB20">
        <f>(M20-M$54)/M$55</f>
        <v>-4.3986518939752983</v>
      </c>
      <c r="AC20">
        <f>(N20-N$54)/N$55</f>
        <v>3.1464082238371244E-2</v>
      </c>
    </row>
    <row r="21" spans="1:29" x14ac:dyDescent="0.25">
      <c r="A21">
        <v>19</v>
      </c>
      <c r="B21">
        <v>49.994999999999997</v>
      </c>
      <c r="C21">
        <v>30</v>
      </c>
      <c r="D21">
        <v>20</v>
      </c>
      <c r="E21">
        <v>300</v>
      </c>
      <c r="F21">
        <v>200.89</v>
      </c>
      <c r="G21">
        <v>300</v>
      </c>
      <c r="H21">
        <v>85.638000000000005</v>
      </c>
      <c r="I21">
        <v>0.11</v>
      </c>
      <c r="J21">
        <v>0.8</v>
      </c>
      <c r="K21">
        <v>234.5</v>
      </c>
      <c r="L21">
        <v>24.766999999999999</v>
      </c>
      <c r="M21">
        <v>65.935000000000002</v>
      </c>
      <c r="N21">
        <v>21.472999999999999</v>
      </c>
      <c r="Q21">
        <f>(B21-B$54)/B$55</f>
        <v>2.3172450429664152E-2</v>
      </c>
      <c r="R21">
        <f>(C21-C$54)/C$55</f>
        <v>-6.4706032195952862E-2</v>
      </c>
      <c r="S21">
        <f>(D21-D$54)/D$55</f>
        <v>0.38538246404034066</v>
      </c>
      <c r="T21">
        <f>(E21-E$54)/E$55</f>
        <v>0.26242839575579752</v>
      </c>
      <c r="U21">
        <f>(F21-F$54)/F$55</f>
        <v>1.7607146067861719</v>
      </c>
      <c r="V21">
        <f>(G21-G$54)/G$55</f>
        <v>2.3290474538643767E-2</v>
      </c>
      <c r="W21">
        <f>(H21-H$54)/H$55</f>
        <v>-1.1022296159950117E-2</v>
      </c>
      <c r="X21">
        <f>(I21-I$54)/I$55</f>
        <v>0.79399923338042055</v>
      </c>
      <c r="Y21">
        <f>(J21-J$54)/J$55</f>
        <v>-4.3296604858100281E-2</v>
      </c>
      <c r="Z21">
        <f>(K21-K$54)/K$55</f>
        <v>-0.27325105817775497</v>
      </c>
      <c r="AA21">
        <f>(L21-L$54)/L$55</f>
        <v>-2.4458049263860974E-2</v>
      </c>
      <c r="AB21">
        <f>(M21-M$54)/M$55</f>
        <v>-4.7594833539203369</v>
      </c>
      <c r="AC21">
        <f>(N21-N$54)/N$55</f>
        <v>2.1682502267887194E-2</v>
      </c>
    </row>
    <row r="22" spans="1:29" x14ac:dyDescent="0.25">
      <c r="A22">
        <v>20</v>
      </c>
      <c r="B22">
        <v>49.996000000000002</v>
      </c>
      <c r="C22">
        <v>30</v>
      </c>
      <c r="D22">
        <v>20</v>
      </c>
      <c r="E22">
        <v>300</v>
      </c>
      <c r="F22">
        <v>200.90299999999999</v>
      </c>
      <c r="G22">
        <v>300</v>
      </c>
      <c r="H22">
        <v>85.631</v>
      </c>
      <c r="I22">
        <v>0.11</v>
      </c>
      <c r="J22">
        <v>0.8</v>
      </c>
      <c r="K22">
        <v>234.5</v>
      </c>
      <c r="L22">
        <v>24.766999999999999</v>
      </c>
      <c r="M22">
        <v>65.873000000000005</v>
      </c>
      <c r="N22">
        <v>21.472000000000001</v>
      </c>
      <c r="Q22">
        <f>(B22-B$54)/B$55</f>
        <v>3.7655231948307152E-2</v>
      </c>
      <c r="R22">
        <f>(C22-C$54)/C$55</f>
        <v>-6.4706032195952862E-2</v>
      </c>
      <c r="S22">
        <f>(D22-D$54)/D$55</f>
        <v>0.38538246404034066</v>
      </c>
      <c r="T22">
        <f>(E22-E$54)/E$55</f>
        <v>0.26242839575579752</v>
      </c>
      <c r="U22">
        <f>(F22-F$54)/F$55</f>
        <v>1.7853373368724783</v>
      </c>
      <c r="V22">
        <f>(G22-G$54)/G$55</f>
        <v>2.3290474538643767E-2</v>
      </c>
      <c r="W22">
        <f>(H22-H$54)/H$55</f>
        <v>-1.8922235387214398E-2</v>
      </c>
      <c r="X22">
        <f>(I22-I$54)/I$55</f>
        <v>0.79399923338042055</v>
      </c>
      <c r="Y22">
        <f>(J22-J$54)/J$55</f>
        <v>-4.3296604858100281E-2</v>
      </c>
      <c r="Z22">
        <f>(K22-K$54)/K$55</f>
        <v>-0.27325105817775497</v>
      </c>
      <c r="AA22">
        <f>(L22-L$54)/L$55</f>
        <v>-2.4458049263860974E-2</v>
      </c>
      <c r="AB22">
        <f>(M22-M$54)/M$55</f>
        <v>-5.1203148138653756</v>
      </c>
      <c r="AC22">
        <f>(N22-N$54)/N$55</f>
        <v>1.6791712282662546E-2</v>
      </c>
    </row>
    <row r="23" spans="1:29" x14ac:dyDescent="0.25">
      <c r="A23">
        <v>21</v>
      </c>
      <c r="B23">
        <v>49.996000000000002</v>
      </c>
      <c r="C23">
        <v>30</v>
      </c>
      <c r="D23">
        <v>20</v>
      </c>
      <c r="E23">
        <v>300</v>
      </c>
      <c r="F23">
        <v>200.91399999999999</v>
      </c>
      <c r="G23">
        <v>300</v>
      </c>
      <c r="H23">
        <v>85.625</v>
      </c>
      <c r="I23">
        <v>0.11</v>
      </c>
      <c r="J23">
        <v>0.8</v>
      </c>
      <c r="K23">
        <v>234.5</v>
      </c>
      <c r="L23">
        <v>24.766999999999999</v>
      </c>
      <c r="M23">
        <v>65.81</v>
      </c>
      <c r="N23">
        <v>21.47</v>
      </c>
      <c r="Q23">
        <f>(B23-B$54)/B$55</f>
        <v>3.7655231948307152E-2</v>
      </c>
      <c r="R23">
        <f>(C23-C$54)/C$55</f>
        <v>-6.4706032195952862E-2</v>
      </c>
      <c r="S23">
        <f>(D23-D$54)/D$55</f>
        <v>0.38538246404034066</v>
      </c>
      <c r="T23">
        <f>(E23-E$54)/E$55</f>
        <v>0.26242839575579752</v>
      </c>
      <c r="U23">
        <f>(F23-F$54)/F$55</f>
        <v>1.8061719546377977</v>
      </c>
      <c r="V23">
        <f>(G23-G$54)/G$55</f>
        <v>2.3290474538643767E-2</v>
      </c>
      <c r="W23">
        <f>(H23-H$54)/H$55</f>
        <v>-2.5693611867722056E-2</v>
      </c>
      <c r="X23">
        <f>(I23-I$54)/I$55</f>
        <v>0.79399923338042055</v>
      </c>
      <c r="Y23">
        <f>(J23-J$54)/J$55</f>
        <v>-4.3296604858100281E-2</v>
      </c>
      <c r="Z23">
        <f>(K23-K$54)/K$55</f>
        <v>-0.27325105817775497</v>
      </c>
      <c r="AA23">
        <f>(L23-L$54)/L$55</f>
        <v>-2.4458049263860974E-2</v>
      </c>
      <c r="AB23">
        <f>(M23-M$54)/M$55</f>
        <v>-5.4869661360676201</v>
      </c>
      <c r="AC23">
        <f>(N23-N$54)/N$55</f>
        <v>7.0101323121784971E-3</v>
      </c>
    </row>
    <row r="24" spans="1:29" x14ac:dyDescent="0.25">
      <c r="A24">
        <v>22</v>
      </c>
      <c r="B24">
        <v>49.996000000000002</v>
      </c>
      <c r="C24">
        <v>30</v>
      </c>
      <c r="D24">
        <v>20</v>
      </c>
      <c r="E24">
        <v>300</v>
      </c>
      <c r="F24">
        <v>200.92500000000001</v>
      </c>
      <c r="G24">
        <v>300</v>
      </c>
      <c r="H24">
        <v>85.617999999999995</v>
      </c>
      <c r="I24">
        <v>0.11</v>
      </c>
      <c r="J24">
        <v>0.8</v>
      </c>
      <c r="K24">
        <v>234.5</v>
      </c>
      <c r="L24">
        <v>24.766999999999999</v>
      </c>
      <c r="M24">
        <v>65.747</v>
      </c>
      <c r="N24">
        <v>21.468</v>
      </c>
      <c r="Q24">
        <f>(B24-B$54)/B$55</f>
        <v>3.7655231948307152E-2</v>
      </c>
      <c r="R24">
        <f>(C24-C$54)/C$55</f>
        <v>-6.4706032195952862E-2</v>
      </c>
      <c r="S24">
        <f>(D24-D$54)/D$55</f>
        <v>0.38538246404034066</v>
      </c>
      <c r="T24">
        <f>(E24-E$54)/E$55</f>
        <v>0.26242839575579752</v>
      </c>
      <c r="U24">
        <f>(F24-F$54)/F$55</f>
        <v>1.827006572403171</v>
      </c>
      <c r="V24">
        <f>(G24-G$54)/G$55</f>
        <v>2.3290474538643767E-2</v>
      </c>
      <c r="W24">
        <f>(H24-H$54)/H$55</f>
        <v>-3.3593551094986338E-2</v>
      </c>
      <c r="X24">
        <f>(I24-I$54)/I$55</f>
        <v>0.79399923338042055</v>
      </c>
      <c r="Y24">
        <f>(J24-J$54)/J$55</f>
        <v>-4.3296604858100281E-2</v>
      </c>
      <c r="Z24">
        <f>(K24-K$54)/K$55</f>
        <v>-0.27325105817775497</v>
      </c>
      <c r="AA24">
        <f>(L24-L$54)/L$55</f>
        <v>-2.4458049263860974E-2</v>
      </c>
      <c r="AB24">
        <f>(M24-M$54)/M$55</f>
        <v>-5.8536174582698655</v>
      </c>
      <c r="AC24">
        <f>(N24-N$54)/N$55</f>
        <v>-2.7714476582881755E-3</v>
      </c>
    </row>
    <row r="25" spans="1:29" x14ac:dyDescent="0.25">
      <c r="A25">
        <v>23</v>
      </c>
      <c r="B25">
        <v>49.996000000000002</v>
      </c>
      <c r="C25">
        <v>30</v>
      </c>
      <c r="D25">
        <v>20</v>
      </c>
      <c r="E25">
        <v>300</v>
      </c>
      <c r="F25">
        <v>200.934</v>
      </c>
      <c r="G25">
        <v>300</v>
      </c>
      <c r="H25">
        <v>85.611999999999995</v>
      </c>
      <c r="I25">
        <v>0.11</v>
      </c>
      <c r="J25">
        <v>0.8</v>
      </c>
      <c r="K25">
        <v>234.5</v>
      </c>
      <c r="L25">
        <v>24.766999999999999</v>
      </c>
      <c r="M25">
        <v>65.683000000000007</v>
      </c>
      <c r="N25">
        <v>21.466999999999999</v>
      </c>
      <c r="Q25">
        <f>(B25-B$54)/B$55</f>
        <v>3.7655231948307152E-2</v>
      </c>
      <c r="R25">
        <f>(C25-C$54)/C$55</f>
        <v>-6.4706032195952862E-2</v>
      </c>
      <c r="S25">
        <f>(D25-D$54)/D$55</f>
        <v>0.38538246404034066</v>
      </c>
      <c r="T25">
        <f>(E25-E$54)/E$55</f>
        <v>0.26242839575579752</v>
      </c>
      <c r="U25">
        <f>(F25-F$54)/F$55</f>
        <v>1.8440530778475037</v>
      </c>
      <c r="V25">
        <f>(G25-G$54)/G$55</f>
        <v>2.3290474538643767E-2</v>
      </c>
      <c r="W25">
        <f>(H25-H$54)/H$55</f>
        <v>-4.0364927575493995E-2</v>
      </c>
      <c r="X25">
        <f>(I25-I$54)/I$55</f>
        <v>0.79399923338042055</v>
      </c>
      <c r="Y25">
        <f>(J25-J$54)/J$55</f>
        <v>-4.3296604858100281E-2</v>
      </c>
      <c r="Z25">
        <f>(K25-K$54)/K$55</f>
        <v>-0.27325105817775497</v>
      </c>
      <c r="AA25">
        <f>(L25-L$54)/L$55</f>
        <v>-2.4458049263860974E-2</v>
      </c>
      <c r="AB25">
        <f>(M25-M$54)/M$55</f>
        <v>-6.2260886427292332</v>
      </c>
      <c r="AC25">
        <f>(N25-N$54)/N$55</f>
        <v>-7.6622376435301993E-3</v>
      </c>
    </row>
    <row r="26" spans="1:29" x14ac:dyDescent="0.25">
      <c r="A26">
        <v>24</v>
      </c>
      <c r="B26">
        <v>49.996000000000002</v>
      </c>
      <c r="C26">
        <v>30</v>
      </c>
      <c r="D26">
        <v>20</v>
      </c>
      <c r="E26">
        <v>300</v>
      </c>
      <c r="F26">
        <v>200.941</v>
      </c>
      <c r="G26">
        <v>300</v>
      </c>
      <c r="H26">
        <v>85.605000000000004</v>
      </c>
      <c r="I26">
        <v>0.11</v>
      </c>
      <c r="J26">
        <v>0.8</v>
      </c>
      <c r="K26">
        <v>234.5</v>
      </c>
      <c r="L26">
        <v>24.766999999999999</v>
      </c>
      <c r="M26">
        <v>65.619</v>
      </c>
      <c r="N26">
        <v>21.465</v>
      </c>
      <c r="Q26">
        <f>(B26-B$54)/B$55</f>
        <v>3.7655231948307152E-2</v>
      </c>
      <c r="R26">
        <f>(C26-C$54)/C$55</f>
        <v>-6.4706032195952862E-2</v>
      </c>
      <c r="S26">
        <f>(D26-D$54)/D$55</f>
        <v>0.38538246404034066</v>
      </c>
      <c r="T26">
        <f>(E26-E$54)/E$55</f>
        <v>0.26242839575579752</v>
      </c>
      <c r="U26">
        <f>(F26-F$54)/F$55</f>
        <v>1.8573114709709035</v>
      </c>
      <c r="V26">
        <f>(G26-G$54)/G$55</f>
        <v>2.3290474538643767E-2</v>
      </c>
      <c r="W26">
        <f>(H26-H$54)/H$55</f>
        <v>-4.8264866802742237E-2</v>
      </c>
      <c r="X26">
        <f>(I26-I$54)/I$55</f>
        <v>0.79399923338042055</v>
      </c>
      <c r="Y26">
        <f>(J26-J$54)/J$55</f>
        <v>-4.3296604858100281E-2</v>
      </c>
      <c r="Z26">
        <f>(K26-K$54)/K$55</f>
        <v>-0.27325105817775497</v>
      </c>
      <c r="AA26">
        <f>(L26-L$54)/L$55</f>
        <v>-2.4458049263860974E-2</v>
      </c>
      <c r="AB26">
        <f>(M26-M$54)/M$55</f>
        <v>-6.5985598271886845</v>
      </c>
      <c r="AC26">
        <f>(N26-N$54)/N$55</f>
        <v>-1.7443817613996871E-2</v>
      </c>
    </row>
    <row r="27" spans="1:29" x14ac:dyDescent="0.25">
      <c r="A27">
        <v>25</v>
      </c>
      <c r="B27">
        <v>49.996000000000002</v>
      </c>
      <c r="C27">
        <v>30</v>
      </c>
      <c r="D27">
        <v>20</v>
      </c>
      <c r="E27">
        <v>300</v>
      </c>
      <c r="F27">
        <v>200.94800000000001</v>
      </c>
      <c r="G27">
        <v>300</v>
      </c>
      <c r="H27">
        <v>85.599000000000004</v>
      </c>
      <c r="I27">
        <v>0.11</v>
      </c>
      <c r="J27">
        <v>0.8</v>
      </c>
      <c r="K27">
        <v>234.5</v>
      </c>
      <c r="L27">
        <v>24.766999999999999</v>
      </c>
      <c r="M27">
        <v>65.555000000000007</v>
      </c>
      <c r="N27">
        <v>21.463999999999999</v>
      </c>
      <c r="Q27">
        <f>(B27-B$54)/B$55</f>
        <v>3.7655231948307152E-2</v>
      </c>
      <c r="R27">
        <f>(C27-C$54)/C$55</f>
        <v>-6.4706032195952862E-2</v>
      </c>
      <c r="S27">
        <f>(D27-D$54)/D$55</f>
        <v>0.38538246404034066</v>
      </c>
      <c r="T27">
        <f>(E27-E$54)/E$55</f>
        <v>0.26242839575579752</v>
      </c>
      <c r="U27">
        <f>(F27-F$54)/F$55</f>
        <v>1.8705698640943034</v>
      </c>
      <c r="V27">
        <f>(G27-G$54)/G$55</f>
        <v>2.3290474538643767E-2</v>
      </c>
      <c r="W27">
        <f>(H27-H$54)/H$55</f>
        <v>-5.5036243283249894E-2</v>
      </c>
      <c r="X27">
        <f>(I27-I$54)/I$55</f>
        <v>0.79399923338042055</v>
      </c>
      <c r="Y27">
        <f>(J27-J$54)/J$55</f>
        <v>-4.3296604858100281E-2</v>
      </c>
      <c r="Z27">
        <f>(K27-K$54)/K$55</f>
        <v>-0.27325105817775497</v>
      </c>
      <c r="AA27">
        <f>(L27-L$54)/L$55</f>
        <v>-2.4458049263860974E-2</v>
      </c>
      <c r="AB27">
        <f>(M27-M$54)/M$55</f>
        <v>-6.9710310116480523</v>
      </c>
      <c r="AC27">
        <f>(N27-N$54)/N$55</f>
        <v>-2.2334607599238897E-2</v>
      </c>
    </row>
    <row r="28" spans="1:29" x14ac:dyDescent="0.25">
      <c r="A28">
        <v>26</v>
      </c>
      <c r="B28">
        <v>49.996000000000002</v>
      </c>
      <c r="C28">
        <v>30</v>
      </c>
      <c r="D28">
        <v>20</v>
      </c>
      <c r="E28">
        <v>300</v>
      </c>
      <c r="F28">
        <v>200.95500000000001</v>
      </c>
      <c r="G28">
        <v>300</v>
      </c>
      <c r="H28">
        <v>85.593999999999994</v>
      </c>
      <c r="I28">
        <v>0.11</v>
      </c>
      <c r="J28">
        <v>0.8</v>
      </c>
      <c r="K28">
        <v>234.5</v>
      </c>
      <c r="L28">
        <v>24.766999999999999</v>
      </c>
      <c r="M28">
        <v>65.489999999999995</v>
      </c>
      <c r="N28">
        <v>21.462</v>
      </c>
      <c r="Q28">
        <f>(B28-B$54)/B$55</f>
        <v>3.7655231948307152E-2</v>
      </c>
      <c r="R28">
        <f>(C28-C$54)/C$55</f>
        <v>-6.4706032195952862E-2</v>
      </c>
      <c r="S28">
        <f>(D28-D$54)/D$55</f>
        <v>0.38538246404034066</v>
      </c>
      <c r="T28">
        <f>(E28-E$54)/E$55</f>
        <v>0.26242839575579752</v>
      </c>
      <c r="U28">
        <f>(F28-F$54)/F$55</f>
        <v>1.8838282572177032</v>
      </c>
      <c r="V28">
        <f>(G28-G$54)/G$55</f>
        <v>2.3290474538643767E-2</v>
      </c>
      <c r="W28">
        <f>(H28-H$54)/H$55</f>
        <v>-6.0679057017016966E-2</v>
      </c>
      <c r="X28">
        <f>(I28-I$54)/I$55</f>
        <v>0.79399923338042055</v>
      </c>
      <c r="Y28">
        <f>(J28-J$54)/J$55</f>
        <v>-4.3296604858100281E-2</v>
      </c>
      <c r="Z28">
        <f>(K28-K$54)/K$55</f>
        <v>-0.27325105817775497</v>
      </c>
      <c r="AA28">
        <f>(L28-L$54)/L$55</f>
        <v>-2.4458049263860974E-2</v>
      </c>
      <c r="AB28">
        <f>(M28-M$54)/M$55</f>
        <v>-7.3493220583647094</v>
      </c>
      <c r="AC28">
        <f>(N28-N$54)/N$55</f>
        <v>-3.2116187569705572E-2</v>
      </c>
    </row>
    <row r="29" spans="1:29" x14ac:dyDescent="0.25">
      <c r="A29">
        <v>27</v>
      </c>
      <c r="B29">
        <v>49.996000000000002</v>
      </c>
      <c r="C29">
        <v>30</v>
      </c>
      <c r="D29">
        <v>20</v>
      </c>
      <c r="E29">
        <v>300</v>
      </c>
      <c r="F29">
        <v>200.96</v>
      </c>
      <c r="G29">
        <v>300</v>
      </c>
      <c r="H29">
        <v>85.587999999999994</v>
      </c>
      <c r="I29">
        <v>0.11</v>
      </c>
      <c r="J29">
        <v>0.8</v>
      </c>
      <c r="K29">
        <v>234.5</v>
      </c>
      <c r="L29">
        <v>24.766999999999999</v>
      </c>
      <c r="M29">
        <v>65.424999999999997</v>
      </c>
      <c r="N29">
        <v>21.460999999999999</v>
      </c>
      <c r="Q29">
        <f>(B29-B$54)/B$55</f>
        <v>3.7655231948307152E-2</v>
      </c>
      <c r="R29">
        <f>(C29-C$54)/C$55</f>
        <v>-6.4706032195952862E-2</v>
      </c>
      <c r="S29">
        <f>(D29-D$54)/D$55</f>
        <v>0.38538246404034066</v>
      </c>
      <c r="T29">
        <f>(E29-E$54)/E$55</f>
        <v>0.26242839575579752</v>
      </c>
      <c r="U29">
        <f>(F29-F$54)/F$55</f>
        <v>1.8932985380201164</v>
      </c>
      <c r="V29">
        <f>(G29-G$54)/G$55</f>
        <v>2.3290474538643767E-2</v>
      </c>
      <c r="W29">
        <f>(H29-H$54)/H$55</f>
        <v>-6.7450433497524623E-2</v>
      </c>
      <c r="X29">
        <f>(I29-I$54)/I$55</f>
        <v>0.79399923338042055</v>
      </c>
      <c r="Y29">
        <f>(J29-J$54)/J$55</f>
        <v>-4.3296604858100281E-2</v>
      </c>
      <c r="Z29">
        <f>(K29-K$54)/K$55</f>
        <v>-0.27325105817775497</v>
      </c>
      <c r="AA29">
        <f>(L29-L$54)/L$55</f>
        <v>-2.4458049263860974E-2</v>
      </c>
      <c r="AB29">
        <f>(M29-M$54)/M$55</f>
        <v>-7.727613105081284</v>
      </c>
      <c r="AC29">
        <f>(N29-N$54)/N$55</f>
        <v>-3.7006977554947591E-2</v>
      </c>
    </row>
    <row r="30" spans="1:29" x14ac:dyDescent="0.25">
      <c r="A30">
        <v>28</v>
      </c>
      <c r="B30">
        <v>49.997</v>
      </c>
      <c r="C30">
        <v>30</v>
      </c>
      <c r="D30">
        <v>20</v>
      </c>
      <c r="E30">
        <v>300</v>
      </c>
      <c r="F30">
        <v>200.965</v>
      </c>
      <c r="G30">
        <v>300</v>
      </c>
      <c r="H30">
        <v>85.581999999999994</v>
      </c>
      <c r="I30">
        <v>0.11</v>
      </c>
      <c r="J30">
        <v>0.8</v>
      </c>
      <c r="K30">
        <v>234.5</v>
      </c>
      <c r="L30">
        <v>24.766999999999999</v>
      </c>
      <c r="M30">
        <v>65.36</v>
      </c>
      <c r="N30">
        <v>21.46</v>
      </c>
      <c r="Q30">
        <f>(B30-B$54)/B$55</f>
        <v>5.2138013466847252E-2</v>
      </c>
      <c r="R30">
        <f>(C30-C$54)/C$55</f>
        <v>-6.4706032195952862E-2</v>
      </c>
      <c r="S30">
        <f>(D30-D$54)/D$55</f>
        <v>0.38538246404034066</v>
      </c>
      <c r="T30">
        <f>(E30-E$54)/E$55</f>
        <v>0.26242839575579752</v>
      </c>
      <c r="U30">
        <f>(F30-F$54)/F$55</f>
        <v>1.9027688188225294</v>
      </c>
      <c r="V30">
        <f>(G30-G$54)/G$55</f>
        <v>2.3290474538643767E-2</v>
      </c>
      <c r="W30">
        <f>(H30-H$54)/H$55</f>
        <v>-7.422180997803228E-2</v>
      </c>
      <c r="X30">
        <f>(I30-I$54)/I$55</f>
        <v>0.79399923338042055</v>
      </c>
      <c r="Y30">
        <f>(J30-J$54)/J$55</f>
        <v>-4.3296604858100281E-2</v>
      </c>
      <c r="Z30">
        <f>(K30-K$54)/K$55</f>
        <v>-0.27325105817775497</v>
      </c>
      <c r="AA30">
        <f>(L30-L$54)/L$55</f>
        <v>-2.4458049263860974E-2</v>
      </c>
      <c r="AB30">
        <f>(M30-M$54)/M$55</f>
        <v>-8.1059041517978585</v>
      </c>
      <c r="AC30">
        <f>(N30-N$54)/N$55</f>
        <v>-4.1897767540172243E-2</v>
      </c>
    </row>
    <row r="31" spans="1:29" x14ac:dyDescent="0.25">
      <c r="A31">
        <v>29</v>
      </c>
      <c r="B31">
        <v>49.997</v>
      </c>
      <c r="C31">
        <v>30</v>
      </c>
      <c r="D31">
        <v>20</v>
      </c>
      <c r="E31">
        <v>300</v>
      </c>
      <c r="F31">
        <v>200.96899999999999</v>
      </c>
      <c r="G31">
        <v>300</v>
      </c>
      <c r="H31">
        <v>85.576999999999998</v>
      </c>
      <c r="I31">
        <v>0.11</v>
      </c>
      <c r="J31">
        <v>0.8</v>
      </c>
      <c r="K31">
        <v>234.5</v>
      </c>
      <c r="L31">
        <v>24.766999999999999</v>
      </c>
      <c r="M31">
        <v>65.295000000000002</v>
      </c>
      <c r="N31">
        <v>21.457999999999998</v>
      </c>
      <c r="Q31">
        <f>(B31-B$54)/B$55</f>
        <v>5.2138013466847252E-2</v>
      </c>
      <c r="R31">
        <f>(C31-C$54)/C$55</f>
        <v>-6.4706032195952862E-2</v>
      </c>
      <c r="S31">
        <f>(D31-D$54)/D$55</f>
        <v>0.38538246404034066</v>
      </c>
      <c r="T31">
        <f>(E31-E$54)/E$55</f>
        <v>0.26242839575579752</v>
      </c>
      <c r="U31">
        <f>(F31-F$54)/F$55</f>
        <v>1.9103450434644491</v>
      </c>
      <c r="V31">
        <f>(G31-G$54)/G$55</f>
        <v>2.3290474538643767E-2</v>
      </c>
      <c r="W31">
        <f>(H31-H$54)/H$55</f>
        <v>-7.9864623711783322E-2</v>
      </c>
      <c r="X31">
        <f>(I31-I$54)/I$55</f>
        <v>0.79399923338042055</v>
      </c>
      <c r="Y31">
        <f>(J31-J$54)/J$55</f>
        <v>-4.3296604858100281E-2</v>
      </c>
      <c r="Z31">
        <f>(K31-K$54)/K$55</f>
        <v>-0.27325105817775497</v>
      </c>
      <c r="AA31">
        <f>(L31-L$54)/L$55</f>
        <v>-2.4458049263860974E-2</v>
      </c>
      <c r="AB31">
        <f>(M31-M$54)/M$55</f>
        <v>-8.4841951985144313</v>
      </c>
      <c r="AC31">
        <f>(N31-N$54)/N$55</f>
        <v>-5.1679347510656289E-2</v>
      </c>
    </row>
    <row r="32" spans="1:29" x14ac:dyDescent="0.25">
      <c r="A32">
        <v>30</v>
      </c>
      <c r="B32">
        <v>49.997</v>
      </c>
      <c r="C32">
        <v>30</v>
      </c>
      <c r="D32">
        <v>20</v>
      </c>
      <c r="E32">
        <v>300</v>
      </c>
      <c r="F32">
        <v>200.97300000000001</v>
      </c>
      <c r="G32">
        <v>300</v>
      </c>
      <c r="H32">
        <v>85.572000000000003</v>
      </c>
      <c r="I32">
        <v>0.11</v>
      </c>
      <c r="J32">
        <v>0.8</v>
      </c>
      <c r="K32">
        <v>234.5</v>
      </c>
      <c r="L32">
        <v>24.766999999999999</v>
      </c>
      <c r="M32">
        <v>65.228999999999999</v>
      </c>
      <c r="N32">
        <v>21.457000000000001</v>
      </c>
      <c r="Q32">
        <f>(B32-B$54)/B$55</f>
        <v>5.2138013466847252E-2</v>
      </c>
      <c r="R32">
        <f>(C32-C$54)/C$55</f>
        <v>-6.4706032195952862E-2</v>
      </c>
      <c r="S32">
        <f>(D32-D$54)/D$55</f>
        <v>0.38538246404034066</v>
      </c>
      <c r="T32">
        <f>(E32-E$54)/E$55</f>
        <v>0.26242839575579752</v>
      </c>
      <c r="U32">
        <f>(F32-F$54)/F$55</f>
        <v>1.9179212681064226</v>
      </c>
      <c r="V32">
        <f>(G32-G$54)/G$55</f>
        <v>2.3290474538643767E-2</v>
      </c>
      <c r="W32">
        <f>(H32-H$54)/H$55</f>
        <v>-8.5507437445534351E-2</v>
      </c>
      <c r="X32">
        <f>(I32-I$54)/I$55</f>
        <v>0.79399923338042055</v>
      </c>
      <c r="Y32">
        <f>(J32-J$54)/J$55</f>
        <v>-4.3296604858100281E-2</v>
      </c>
      <c r="Z32">
        <f>(K32-K$54)/K$55</f>
        <v>-0.27325105817775497</v>
      </c>
      <c r="AA32">
        <f>(L32-L$54)/L$55</f>
        <v>-2.4458049263860974E-2</v>
      </c>
      <c r="AB32">
        <f>(M32-M$54)/M$55</f>
        <v>-8.8683061074882126</v>
      </c>
      <c r="AC32">
        <f>(N32-N$54)/N$55</f>
        <v>-5.657013749588094E-2</v>
      </c>
    </row>
    <row r="33" spans="1:29" x14ac:dyDescent="0.25">
      <c r="A33">
        <v>31</v>
      </c>
      <c r="B33">
        <v>49.997</v>
      </c>
      <c r="C33">
        <v>30</v>
      </c>
      <c r="D33">
        <v>20</v>
      </c>
      <c r="E33">
        <v>300</v>
      </c>
      <c r="F33">
        <v>200.976</v>
      </c>
      <c r="G33">
        <v>300</v>
      </c>
      <c r="H33">
        <v>85.567999999999998</v>
      </c>
      <c r="I33">
        <v>0.11</v>
      </c>
      <c r="J33">
        <v>0.8</v>
      </c>
      <c r="K33">
        <v>234.5</v>
      </c>
      <c r="L33">
        <v>24.766999999999999</v>
      </c>
      <c r="M33">
        <v>65.164000000000001</v>
      </c>
      <c r="N33">
        <v>21.456</v>
      </c>
      <c r="Q33">
        <f t="shared" ref="Q33:Q52" si="0">(B33-B$54)/B$55</f>
        <v>5.2138013466847252E-2</v>
      </c>
      <c r="R33">
        <f t="shared" ref="R33:R52" si="1">(C33-C$54)/C$55</f>
        <v>-6.4706032195952862E-2</v>
      </c>
      <c r="S33">
        <f t="shared" ref="S33:S52" si="2">(D33-D$54)/D$55</f>
        <v>0.38538246404034066</v>
      </c>
      <c r="T33">
        <f t="shared" ref="T33:T52" si="3">(E33-E$54)/E$55</f>
        <v>0.26242839575579752</v>
      </c>
      <c r="U33">
        <f t="shared" ref="U33:U52" si="4">(F33-F$54)/F$55</f>
        <v>1.9236034365878489</v>
      </c>
      <c r="V33">
        <f t="shared" ref="V33:V52" si="5">(G33-G$54)/G$55</f>
        <v>2.3290474538643767E-2</v>
      </c>
      <c r="W33">
        <f t="shared" ref="W33:W52" si="6">(H33-H$54)/H$55</f>
        <v>-9.0021688432544808E-2</v>
      </c>
      <c r="X33">
        <f t="shared" ref="X33:X52" si="7">(I33-I$54)/I$55</f>
        <v>0.79399923338042055</v>
      </c>
      <c r="Y33">
        <f t="shared" ref="Y33:Y52" si="8">(J33-J$54)/J$55</f>
        <v>-4.3296604858100281E-2</v>
      </c>
      <c r="Z33">
        <f t="shared" ref="Z33:Z52" si="9">(K33-K$54)/K$55</f>
        <v>-0.27325105817775497</v>
      </c>
      <c r="AA33">
        <f t="shared" ref="AA33:AA52" si="10">(L33-L$54)/L$55</f>
        <v>-2.4458049263860974E-2</v>
      </c>
      <c r="AB33">
        <f t="shared" ref="AB33:AB52" si="11">(M33-M$54)/M$55</f>
        <v>-9.2465971542047871</v>
      </c>
      <c r="AC33">
        <f t="shared" ref="AC33:AC52" si="12">(N33-N$54)/N$55</f>
        <v>-6.1460927481122959E-2</v>
      </c>
    </row>
    <row r="34" spans="1:29" x14ac:dyDescent="0.25">
      <c r="A34">
        <v>32</v>
      </c>
      <c r="B34">
        <v>49.997</v>
      </c>
      <c r="C34">
        <v>30</v>
      </c>
      <c r="D34">
        <v>20</v>
      </c>
      <c r="E34">
        <v>300</v>
      </c>
      <c r="F34">
        <v>200.97900000000001</v>
      </c>
      <c r="G34">
        <v>300</v>
      </c>
      <c r="H34">
        <v>85.563000000000002</v>
      </c>
      <c r="I34">
        <v>0.11</v>
      </c>
      <c r="J34">
        <v>0.8</v>
      </c>
      <c r="K34">
        <v>234.5</v>
      </c>
      <c r="L34">
        <v>24.766999999999999</v>
      </c>
      <c r="M34">
        <v>65.097999999999999</v>
      </c>
      <c r="N34">
        <v>21.454999999999998</v>
      </c>
      <c r="Q34">
        <f t="shared" si="0"/>
        <v>5.2138013466847252E-2</v>
      </c>
      <c r="R34">
        <f t="shared" si="1"/>
        <v>-6.4706032195952862E-2</v>
      </c>
      <c r="S34">
        <f t="shared" si="2"/>
        <v>0.38538246404034066</v>
      </c>
      <c r="T34">
        <f t="shared" si="3"/>
        <v>0.26242839575579752</v>
      </c>
      <c r="U34">
        <f t="shared" si="4"/>
        <v>1.929285605069329</v>
      </c>
      <c r="V34">
        <f t="shared" si="5"/>
        <v>2.3290474538643767E-2</v>
      </c>
      <c r="W34">
        <f t="shared" si="6"/>
        <v>-9.5664502166295837E-2</v>
      </c>
      <c r="X34">
        <f t="shared" si="7"/>
        <v>0.79399923338042055</v>
      </c>
      <c r="Y34">
        <f t="shared" si="8"/>
        <v>-4.3296604858100281E-2</v>
      </c>
      <c r="Z34">
        <f t="shared" si="9"/>
        <v>-0.27325105817775497</v>
      </c>
      <c r="AA34">
        <f t="shared" si="10"/>
        <v>-2.4458049263860974E-2</v>
      </c>
      <c r="AB34">
        <f t="shared" si="11"/>
        <v>-9.6307080631785666</v>
      </c>
      <c r="AC34">
        <f t="shared" si="12"/>
        <v>-6.6351717466364979E-2</v>
      </c>
    </row>
    <row r="35" spans="1:29" x14ac:dyDescent="0.25">
      <c r="A35">
        <v>33</v>
      </c>
      <c r="B35">
        <v>49.997999999999998</v>
      </c>
      <c r="C35">
        <v>30</v>
      </c>
      <c r="D35">
        <v>20</v>
      </c>
      <c r="E35">
        <v>300</v>
      </c>
      <c r="F35">
        <v>200.98099999999999</v>
      </c>
      <c r="G35">
        <v>300</v>
      </c>
      <c r="H35">
        <v>85.558999999999997</v>
      </c>
      <c r="I35">
        <v>0.11</v>
      </c>
      <c r="J35">
        <v>0.8</v>
      </c>
      <c r="K35">
        <v>234.5</v>
      </c>
      <c r="L35">
        <v>24.766999999999999</v>
      </c>
      <c r="M35">
        <v>65.031999999999996</v>
      </c>
      <c r="N35">
        <v>21.454000000000001</v>
      </c>
      <c r="Q35">
        <f t="shared" si="0"/>
        <v>6.6620794985387338E-2</v>
      </c>
      <c r="R35">
        <f t="shared" si="1"/>
        <v>-6.4706032195952862E-2</v>
      </c>
      <c r="S35">
        <f t="shared" si="2"/>
        <v>0.38538246404034066</v>
      </c>
      <c r="T35">
        <f t="shared" si="3"/>
        <v>0.26242839575579752</v>
      </c>
      <c r="U35">
        <f t="shared" si="4"/>
        <v>1.9330737173902619</v>
      </c>
      <c r="V35">
        <f t="shared" si="5"/>
        <v>2.3290474538643767E-2</v>
      </c>
      <c r="W35">
        <f t="shared" si="6"/>
        <v>-0.10017875315330629</v>
      </c>
      <c r="X35">
        <f t="shared" si="7"/>
        <v>0.79399923338042055</v>
      </c>
      <c r="Y35">
        <f t="shared" si="8"/>
        <v>-4.3296604858100281E-2</v>
      </c>
      <c r="Z35">
        <f t="shared" si="9"/>
        <v>-0.27325105817775497</v>
      </c>
      <c r="AA35">
        <f t="shared" si="10"/>
        <v>-2.4458049263860974E-2</v>
      </c>
      <c r="AB35">
        <f t="shared" si="11"/>
        <v>-10.014818972152348</v>
      </c>
      <c r="AC35">
        <f t="shared" si="12"/>
        <v>-7.1242507451589637E-2</v>
      </c>
    </row>
    <row r="36" spans="1:29" x14ac:dyDescent="0.25">
      <c r="A36">
        <v>34</v>
      </c>
      <c r="B36">
        <v>49.997999999999998</v>
      </c>
      <c r="C36">
        <v>30</v>
      </c>
      <c r="D36">
        <v>20</v>
      </c>
      <c r="E36">
        <v>300</v>
      </c>
      <c r="F36">
        <v>200.98400000000001</v>
      </c>
      <c r="G36">
        <v>300</v>
      </c>
      <c r="H36">
        <v>85.555000000000007</v>
      </c>
      <c r="I36">
        <v>0.11</v>
      </c>
      <c r="J36">
        <v>0.8</v>
      </c>
      <c r="K36">
        <v>234.5</v>
      </c>
      <c r="L36">
        <v>24.766999999999999</v>
      </c>
      <c r="M36">
        <v>64.965999999999994</v>
      </c>
      <c r="N36">
        <v>21.452999999999999</v>
      </c>
      <c r="Q36">
        <f t="shared" si="0"/>
        <v>6.6620794985387338E-2</v>
      </c>
      <c r="R36">
        <f t="shared" si="1"/>
        <v>-6.4706032195952862E-2</v>
      </c>
      <c r="S36">
        <f t="shared" si="2"/>
        <v>0.38538246404034066</v>
      </c>
      <c r="T36">
        <f t="shared" si="3"/>
        <v>0.26242839575579752</v>
      </c>
      <c r="U36">
        <f t="shared" si="4"/>
        <v>1.9387558858717422</v>
      </c>
      <c r="V36">
        <f t="shared" si="5"/>
        <v>2.3290474538643767E-2</v>
      </c>
      <c r="W36">
        <f t="shared" si="6"/>
        <v>-0.10469300414030071</v>
      </c>
      <c r="X36">
        <f t="shared" si="7"/>
        <v>0.79399923338042055</v>
      </c>
      <c r="Y36">
        <f t="shared" si="8"/>
        <v>-4.3296604858100281E-2</v>
      </c>
      <c r="Z36">
        <f t="shared" si="9"/>
        <v>-0.27325105817775497</v>
      </c>
      <c r="AA36">
        <f t="shared" si="10"/>
        <v>-2.4458049263860974E-2</v>
      </c>
      <c r="AB36">
        <f t="shared" si="11"/>
        <v>-10.398929881126127</v>
      </c>
      <c r="AC36">
        <f t="shared" si="12"/>
        <v>-7.6133297436831657E-2</v>
      </c>
    </row>
    <row r="37" spans="1:29" x14ac:dyDescent="0.25">
      <c r="A37">
        <v>35</v>
      </c>
      <c r="B37">
        <v>49.997999999999998</v>
      </c>
      <c r="C37">
        <v>30</v>
      </c>
      <c r="D37">
        <v>20</v>
      </c>
      <c r="E37">
        <v>300</v>
      </c>
      <c r="F37">
        <v>200.98500000000001</v>
      </c>
      <c r="G37">
        <v>300</v>
      </c>
      <c r="H37">
        <v>85.551000000000002</v>
      </c>
      <c r="I37">
        <v>0.11</v>
      </c>
      <c r="J37">
        <v>0.8</v>
      </c>
      <c r="K37">
        <v>234.5</v>
      </c>
      <c r="L37">
        <v>24.766999999999999</v>
      </c>
      <c r="M37">
        <v>64.900000000000006</v>
      </c>
      <c r="N37">
        <v>21.452000000000002</v>
      </c>
      <c r="Q37">
        <f t="shared" si="0"/>
        <v>6.6620794985387338E-2</v>
      </c>
      <c r="R37">
        <f t="shared" si="1"/>
        <v>-6.4706032195952862E-2</v>
      </c>
      <c r="S37">
        <f t="shared" si="2"/>
        <v>0.38538246404034066</v>
      </c>
      <c r="T37">
        <f t="shared" si="3"/>
        <v>0.26242839575579752</v>
      </c>
      <c r="U37">
        <f t="shared" si="4"/>
        <v>1.9406499420322354</v>
      </c>
      <c r="V37">
        <f t="shared" si="5"/>
        <v>2.3290474538643767E-2</v>
      </c>
      <c r="W37">
        <f t="shared" si="6"/>
        <v>-0.10920725512731115</v>
      </c>
      <c r="X37">
        <f t="shared" si="7"/>
        <v>0.79399923338042055</v>
      </c>
      <c r="Y37">
        <f t="shared" si="8"/>
        <v>-4.3296604858100281E-2</v>
      </c>
      <c r="Z37">
        <f t="shared" si="9"/>
        <v>-0.27325105817775497</v>
      </c>
      <c r="AA37">
        <f t="shared" si="10"/>
        <v>-2.4458049263860974E-2</v>
      </c>
      <c r="AB37">
        <f t="shared" si="11"/>
        <v>-10.783040790099825</v>
      </c>
      <c r="AC37">
        <f t="shared" si="12"/>
        <v>-8.1024087422056301E-2</v>
      </c>
    </row>
    <row r="38" spans="1:29" x14ac:dyDescent="0.25">
      <c r="A38">
        <v>36</v>
      </c>
      <c r="B38">
        <v>49.997999999999998</v>
      </c>
      <c r="C38">
        <v>30</v>
      </c>
      <c r="D38">
        <v>20</v>
      </c>
      <c r="E38">
        <v>300</v>
      </c>
      <c r="F38">
        <v>200.98699999999999</v>
      </c>
      <c r="G38">
        <v>300</v>
      </c>
      <c r="H38">
        <v>85.548000000000002</v>
      </c>
      <c r="I38">
        <v>0.11</v>
      </c>
      <c r="J38">
        <v>0.8</v>
      </c>
      <c r="K38">
        <v>234.5</v>
      </c>
      <c r="L38">
        <v>24.766999999999999</v>
      </c>
      <c r="M38">
        <v>64.834000000000003</v>
      </c>
      <c r="N38">
        <v>21.451000000000001</v>
      </c>
      <c r="Q38">
        <f t="shared" si="0"/>
        <v>6.6620794985387338E-2</v>
      </c>
      <c r="R38">
        <f t="shared" si="1"/>
        <v>-6.4706032195952862E-2</v>
      </c>
      <c r="S38">
        <f t="shared" si="2"/>
        <v>0.38538246404034066</v>
      </c>
      <c r="T38">
        <f t="shared" si="3"/>
        <v>0.26242839575579752</v>
      </c>
      <c r="U38">
        <f t="shared" si="4"/>
        <v>1.9444380543531685</v>
      </c>
      <c r="V38">
        <f t="shared" si="5"/>
        <v>2.3290474538643767E-2</v>
      </c>
      <c r="W38">
        <f t="shared" si="6"/>
        <v>-0.11259294336756498</v>
      </c>
      <c r="X38">
        <f t="shared" si="7"/>
        <v>0.79399923338042055</v>
      </c>
      <c r="Y38">
        <f t="shared" si="8"/>
        <v>-4.3296604858100281E-2</v>
      </c>
      <c r="Z38">
        <f t="shared" si="9"/>
        <v>-0.27325105817775497</v>
      </c>
      <c r="AA38">
        <f t="shared" si="10"/>
        <v>-2.4458049263860974E-2</v>
      </c>
      <c r="AB38">
        <f t="shared" si="11"/>
        <v>-11.167151699073605</v>
      </c>
      <c r="AC38">
        <f t="shared" si="12"/>
        <v>-8.5914877407298335E-2</v>
      </c>
    </row>
    <row r="39" spans="1:29" x14ac:dyDescent="0.25">
      <c r="A39">
        <v>37</v>
      </c>
      <c r="B39">
        <v>49.997999999999998</v>
      </c>
      <c r="C39">
        <v>30</v>
      </c>
      <c r="D39">
        <v>20</v>
      </c>
      <c r="E39">
        <v>300</v>
      </c>
      <c r="F39">
        <v>200.989</v>
      </c>
      <c r="G39">
        <v>300</v>
      </c>
      <c r="H39">
        <v>85.545000000000002</v>
      </c>
      <c r="I39">
        <v>0.11</v>
      </c>
      <c r="J39">
        <v>0.8</v>
      </c>
      <c r="K39">
        <v>234.5</v>
      </c>
      <c r="L39">
        <v>24.766999999999999</v>
      </c>
      <c r="M39">
        <v>64.768000000000001</v>
      </c>
      <c r="N39">
        <v>21.45</v>
      </c>
      <c r="Q39">
        <f t="shared" si="0"/>
        <v>6.6620794985387338E-2</v>
      </c>
      <c r="R39">
        <f t="shared" si="1"/>
        <v>-6.4706032195952862E-2</v>
      </c>
      <c r="S39">
        <f t="shared" si="2"/>
        <v>0.38538246404034066</v>
      </c>
      <c r="T39">
        <f t="shared" si="3"/>
        <v>0.26242839575579752</v>
      </c>
      <c r="U39">
        <f t="shared" si="4"/>
        <v>1.9482261666741552</v>
      </c>
      <c r="V39">
        <f t="shared" si="5"/>
        <v>2.3290474538643767E-2</v>
      </c>
      <c r="W39">
        <f t="shared" si="6"/>
        <v>-0.11597863160781881</v>
      </c>
      <c r="X39">
        <f t="shared" si="7"/>
        <v>0.79399923338042055</v>
      </c>
      <c r="Y39">
        <f t="shared" si="8"/>
        <v>-4.3296604858100281E-2</v>
      </c>
      <c r="Z39">
        <f t="shared" si="9"/>
        <v>-0.27325105817775497</v>
      </c>
      <c r="AA39">
        <f t="shared" si="10"/>
        <v>-2.4458049263860974E-2</v>
      </c>
      <c r="AB39">
        <f t="shared" si="11"/>
        <v>-11.551262608047386</v>
      </c>
      <c r="AC39">
        <f t="shared" si="12"/>
        <v>-9.0805667392540354E-2</v>
      </c>
    </row>
    <row r="40" spans="1:29" x14ac:dyDescent="0.25">
      <c r="A40">
        <v>38</v>
      </c>
      <c r="B40">
        <v>49.999000000000002</v>
      </c>
      <c r="C40">
        <v>30</v>
      </c>
      <c r="D40">
        <v>20</v>
      </c>
      <c r="E40">
        <v>300</v>
      </c>
      <c r="F40">
        <v>200.99</v>
      </c>
      <c r="G40">
        <v>300</v>
      </c>
      <c r="H40">
        <v>85.542000000000002</v>
      </c>
      <c r="I40">
        <v>0.11</v>
      </c>
      <c r="J40">
        <v>0.8</v>
      </c>
      <c r="K40">
        <v>234.5</v>
      </c>
      <c r="L40">
        <v>24.766999999999999</v>
      </c>
      <c r="M40">
        <v>64.701999999999998</v>
      </c>
      <c r="N40">
        <v>21.449000000000002</v>
      </c>
      <c r="Q40">
        <f t="shared" si="0"/>
        <v>8.1103576504030342E-2</v>
      </c>
      <c r="R40">
        <f t="shared" si="1"/>
        <v>-6.4706032195952862E-2</v>
      </c>
      <c r="S40">
        <f t="shared" si="2"/>
        <v>0.38538246404034066</v>
      </c>
      <c r="T40">
        <f t="shared" si="3"/>
        <v>0.26242839575579752</v>
      </c>
      <c r="U40">
        <f t="shared" si="4"/>
        <v>1.9501202228346486</v>
      </c>
      <c r="V40">
        <f t="shared" si="5"/>
        <v>2.3290474538643767E-2</v>
      </c>
      <c r="W40">
        <f t="shared" si="6"/>
        <v>-0.11936431984807264</v>
      </c>
      <c r="X40">
        <f t="shared" si="7"/>
        <v>0.79399923338042055</v>
      </c>
      <c r="Y40">
        <f t="shared" si="8"/>
        <v>-4.3296604858100281E-2</v>
      </c>
      <c r="Z40">
        <f t="shared" si="9"/>
        <v>-0.27325105817775497</v>
      </c>
      <c r="AA40">
        <f t="shared" si="10"/>
        <v>-2.4458049263860974E-2</v>
      </c>
      <c r="AB40">
        <f t="shared" si="11"/>
        <v>-11.935373517021166</v>
      </c>
      <c r="AC40">
        <f t="shared" si="12"/>
        <v>-9.5696457377764998E-2</v>
      </c>
    </row>
    <row r="41" spans="1:29" x14ac:dyDescent="0.25">
      <c r="A41">
        <v>39</v>
      </c>
      <c r="B41">
        <v>49.999000000000002</v>
      </c>
      <c r="C41">
        <v>30</v>
      </c>
      <c r="D41">
        <v>20</v>
      </c>
      <c r="E41">
        <v>300</v>
      </c>
      <c r="F41">
        <v>200.99100000000001</v>
      </c>
      <c r="G41">
        <v>300</v>
      </c>
      <c r="H41">
        <v>85.539000000000001</v>
      </c>
      <c r="I41">
        <v>0.11</v>
      </c>
      <c r="J41">
        <v>0.8</v>
      </c>
      <c r="K41">
        <v>234.5</v>
      </c>
      <c r="L41">
        <v>24.766999999999999</v>
      </c>
      <c r="M41">
        <v>64.635999999999996</v>
      </c>
      <c r="N41">
        <v>21.449000000000002</v>
      </c>
      <c r="Q41">
        <f t="shared" si="0"/>
        <v>8.1103576504030342E-2</v>
      </c>
      <c r="R41">
        <f t="shared" si="1"/>
        <v>-6.4706032195952862E-2</v>
      </c>
      <c r="S41">
        <f t="shared" si="2"/>
        <v>0.38538246404034066</v>
      </c>
      <c r="T41">
        <f t="shared" si="3"/>
        <v>0.26242839575579752</v>
      </c>
      <c r="U41">
        <f t="shared" si="4"/>
        <v>1.952014278995142</v>
      </c>
      <c r="V41">
        <f t="shared" si="5"/>
        <v>2.3290474538643767E-2</v>
      </c>
      <c r="W41">
        <f t="shared" si="6"/>
        <v>-0.12275000808832646</v>
      </c>
      <c r="X41">
        <f t="shared" si="7"/>
        <v>0.79399923338042055</v>
      </c>
      <c r="Y41">
        <f t="shared" si="8"/>
        <v>-4.3296604858100281E-2</v>
      </c>
      <c r="Z41">
        <f t="shared" si="9"/>
        <v>-0.27325105817775497</v>
      </c>
      <c r="AA41">
        <f t="shared" si="10"/>
        <v>-2.4458049263860974E-2</v>
      </c>
      <c r="AB41">
        <f t="shared" si="11"/>
        <v>-12.319484425994947</v>
      </c>
      <c r="AC41">
        <f t="shared" si="12"/>
        <v>-9.5696457377764998E-2</v>
      </c>
    </row>
    <row r="42" spans="1:29" x14ac:dyDescent="0.25">
      <c r="A42">
        <v>40</v>
      </c>
      <c r="B42">
        <v>49.999000000000002</v>
      </c>
      <c r="C42">
        <v>30</v>
      </c>
      <c r="D42">
        <v>20</v>
      </c>
      <c r="E42">
        <v>300</v>
      </c>
      <c r="F42">
        <v>200.99199999999999</v>
      </c>
      <c r="G42">
        <v>300</v>
      </c>
      <c r="H42">
        <v>85.536000000000001</v>
      </c>
      <c r="I42">
        <v>0.11</v>
      </c>
      <c r="J42">
        <v>0.8</v>
      </c>
      <c r="K42">
        <v>234.5</v>
      </c>
      <c r="L42">
        <v>24.766999999999999</v>
      </c>
      <c r="M42">
        <v>64.569000000000003</v>
      </c>
      <c r="N42">
        <v>21.448</v>
      </c>
      <c r="Q42">
        <f t="shared" si="0"/>
        <v>8.1103576504030342E-2</v>
      </c>
      <c r="R42">
        <f t="shared" si="1"/>
        <v>-6.4706032195952862E-2</v>
      </c>
      <c r="S42">
        <f t="shared" si="2"/>
        <v>0.38538246404034066</v>
      </c>
      <c r="T42">
        <f t="shared" si="3"/>
        <v>0.26242839575579752</v>
      </c>
      <c r="U42">
        <f t="shared" si="4"/>
        <v>1.9539083351555815</v>
      </c>
      <c r="V42">
        <f t="shared" si="5"/>
        <v>2.3290474538643767E-2</v>
      </c>
      <c r="W42">
        <f t="shared" si="6"/>
        <v>-0.12613569632858029</v>
      </c>
      <c r="X42">
        <f t="shared" si="7"/>
        <v>0.79399923338042055</v>
      </c>
      <c r="Y42">
        <f t="shared" si="8"/>
        <v>-4.3296604858100281E-2</v>
      </c>
      <c r="Z42">
        <f t="shared" si="9"/>
        <v>-0.27325105817775497</v>
      </c>
      <c r="AA42">
        <f t="shared" si="10"/>
        <v>-2.4458049263860974E-2</v>
      </c>
      <c r="AB42">
        <f t="shared" si="11"/>
        <v>-12.70941519722585</v>
      </c>
      <c r="AC42">
        <f t="shared" si="12"/>
        <v>-0.10058724736300703</v>
      </c>
    </row>
    <row r="43" spans="1:29" x14ac:dyDescent="0.25">
      <c r="A43">
        <v>41</v>
      </c>
      <c r="B43">
        <v>49.999000000000002</v>
      </c>
      <c r="C43">
        <v>30</v>
      </c>
      <c r="D43">
        <v>20</v>
      </c>
      <c r="E43">
        <v>300</v>
      </c>
      <c r="F43">
        <v>200.99299999999999</v>
      </c>
      <c r="G43">
        <v>300</v>
      </c>
      <c r="H43">
        <v>85.534000000000006</v>
      </c>
      <c r="I43">
        <v>0.11</v>
      </c>
      <c r="J43">
        <v>0.8</v>
      </c>
      <c r="K43">
        <v>234.5</v>
      </c>
      <c r="L43">
        <v>24.766999999999999</v>
      </c>
      <c r="M43">
        <v>64.503</v>
      </c>
      <c r="N43">
        <v>21.446999999999999</v>
      </c>
      <c r="Q43">
        <f t="shared" si="0"/>
        <v>8.1103576504030342E-2</v>
      </c>
      <c r="R43">
        <f t="shared" si="1"/>
        <v>-6.4706032195952862E-2</v>
      </c>
      <c r="S43">
        <f t="shared" si="2"/>
        <v>0.38538246404034066</v>
      </c>
      <c r="T43">
        <f t="shared" si="3"/>
        <v>0.26242839575579752</v>
      </c>
      <c r="U43">
        <f t="shared" si="4"/>
        <v>1.9558023913160749</v>
      </c>
      <c r="V43">
        <f t="shared" si="5"/>
        <v>2.3290474538643767E-2</v>
      </c>
      <c r="W43">
        <f t="shared" si="6"/>
        <v>-0.12839282182207751</v>
      </c>
      <c r="X43">
        <f t="shared" si="7"/>
        <v>0.79399923338042055</v>
      </c>
      <c r="Y43">
        <f t="shared" si="8"/>
        <v>-4.3296604858100281E-2</v>
      </c>
      <c r="Z43">
        <f t="shared" si="9"/>
        <v>-0.27325105817775497</v>
      </c>
      <c r="AA43">
        <f t="shared" si="10"/>
        <v>-2.4458049263860974E-2</v>
      </c>
      <c r="AB43">
        <f t="shared" si="11"/>
        <v>-13.093526106199629</v>
      </c>
      <c r="AC43">
        <f t="shared" si="12"/>
        <v>-0.10547803734824905</v>
      </c>
    </row>
    <row r="44" spans="1:29" x14ac:dyDescent="0.25">
      <c r="A44">
        <v>42</v>
      </c>
      <c r="B44">
        <v>49.999000000000002</v>
      </c>
      <c r="C44">
        <v>30</v>
      </c>
      <c r="D44">
        <v>20</v>
      </c>
      <c r="E44">
        <v>300</v>
      </c>
      <c r="F44">
        <v>200.994</v>
      </c>
      <c r="G44">
        <v>300</v>
      </c>
      <c r="H44">
        <v>85.531999999999996</v>
      </c>
      <c r="I44">
        <v>0.11</v>
      </c>
      <c r="J44">
        <v>0.8</v>
      </c>
      <c r="K44">
        <v>234.5</v>
      </c>
      <c r="L44">
        <v>24.766999999999999</v>
      </c>
      <c r="M44">
        <v>64.436999999999998</v>
      </c>
      <c r="N44">
        <v>21.446999999999999</v>
      </c>
      <c r="Q44">
        <f t="shared" si="0"/>
        <v>8.1103576504030342E-2</v>
      </c>
      <c r="R44">
        <f t="shared" si="1"/>
        <v>-6.4706032195952862E-2</v>
      </c>
      <c r="S44">
        <f t="shared" si="2"/>
        <v>0.38538246404034066</v>
      </c>
      <c r="T44">
        <f t="shared" si="3"/>
        <v>0.26242839575579752</v>
      </c>
      <c r="U44">
        <f t="shared" si="4"/>
        <v>1.9576964474765683</v>
      </c>
      <c r="V44">
        <f t="shared" si="5"/>
        <v>2.3290474538643767E-2</v>
      </c>
      <c r="W44">
        <f t="shared" si="6"/>
        <v>-0.13064994731559076</v>
      </c>
      <c r="X44">
        <f t="shared" si="7"/>
        <v>0.79399923338042055</v>
      </c>
      <c r="Y44">
        <f t="shared" si="8"/>
        <v>-4.3296604858100281E-2</v>
      </c>
      <c r="Z44">
        <f t="shared" si="9"/>
        <v>-0.27325105817775497</v>
      </c>
      <c r="AA44">
        <f t="shared" si="10"/>
        <v>-2.4458049263860974E-2</v>
      </c>
      <c r="AB44">
        <f t="shared" si="11"/>
        <v>-13.477637015173411</v>
      </c>
      <c r="AC44">
        <f t="shared" si="12"/>
        <v>-0.10547803734824905</v>
      </c>
    </row>
    <row r="45" spans="1:29" x14ac:dyDescent="0.25">
      <c r="A45">
        <v>43</v>
      </c>
      <c r="B45">
        <v>49.999000000000002</v>
      </c>
      <c r="C45">
        <v>30</v>
      </c>
      <c r="D45">
        <v>20</v>
      </c>
      <c r="E45">
        <v>300</v>
      </c>
      <c r="F45">
        <v>200.995</v>
      </c>
      <c r="G45">
        <v>300</v>
      </c>
      <c r="H45">
        <v>85.53</v>
      </c>
      <c r="I45">
        <v>0.11</v>
      </c>
      <c r="J45">
        <v>0.8</v>
      </c>
      <c r="K45">
        <v>234.5</v>
      </c>
      <c r="L45">
        <v>24.766999999999999</v>
      </c>
      <c r="M45">
        <v>64.37</v>
      </c>
      <c r="N45">
        <v>21.446000000000002</v>
      </c>
      <c r="Q45">
        <f t="shared" si="0"/>
        <v>8.1103576504030342E-2</v>
      </c>
      <c r="R45">
        <f t="shared" si="1"/>
        <v>-6.4706032195952862E-2</v>
      </c>
      <c r="S45">
        <f t="shared" si="2"/>
        <v>0.38538246404034066</v>
      </c>
      <c r="T45">
        <f t="shared" si="3"/>
        <v>0.26242839575579752</v>
      </c>
      <c r="U45">
        <f t="shared" si="4"/>
        <v>1.9595905036370616</v>
      </c>
      <c r="V45">
        <f t="shared" si="5"/>
        <v>2.3290474538643767E-2</v>
      </c>
      <c r="W45">
        <f t="shared" si="6"/>
        <v>-0.13290707280908795</v>
      </c>
      <c r="X45">
        <f t="shared" si="7"/>
        <v>0.79399923338042055</v>
      </c>
      <c r="Y45">
        <f t="shared" si="8"/>
        <v>-4.3296604858100281E-2</v>
      </c>
      <c r="Z45">
        <f t="shared" si="9"/>
        <v>-0.27325105817775497</v>
      </c>
      <c r="AA45">
        <f t="shared" si="10"/>
        <v>-2.4458049263860974E-2</v>
      </c>
      <c r="AB45">
        <f t="shared" si="11"/>
        <v>-13.867567786404313</v>
      </c>
      <c r="AC45">
        <f t="shared" si="12"/>
        <v>-0.1103688273334737</v>
      </c>
    </row>
    <row r="46" spans="1:29" x14ac:dyDescent="0.25">
      <c r="A46">
        <v>44</v>
      </c>
      <c r="B46">
        <v>50</v>
      </c>
      <c r="C46">
        <v>30</v>
      </c>
      <c r="D46">
        <v>20</v>
      </c>
      <c r="E46">
        <v>300</v>
      </c>
      <c r="F46">
        <v>200.995</v>
      </c>
      <c r="G46">
        <v>300</v>
      </c>
      <c r="H46">
        <v>85.528000000000006</v>
      </c>
      <c r="I46">
        <v>0.11</v>
      </c>
      <c r="J46">
        <v>0.8</v>
      </c>
      <c r="K46">
        <v>234.5</v>
      </c>
      <c r="L46">
        <v>24.766999999999999</v>
      </c>
      <c r="M46">
        <v>64.304000000000002</v>
      </c>
      <c r="N46">
        <v>21.446000000000002</v>
      </c>
      <c r="Q46">
        <f t="shared" si="0"/>
        <v>9.5586358022570442E-2</v>
      </c>
      <c r="R46">
        <f t="shared" si="1"/>
        <v>-6.4706032195952862E-2</v>
      </c>
      <c r="S46">
        <f t="shared" si="2"/>
        <v>0.38538246404034066</v>
      </c>
      <c r="T46">
        <f t="shared" si="3"/>
        <v>0.26242839575579752</v>
      </c>
      <c r="U46">
        <f t="shared" si="4"/>
        <v>1.9595905036370616</v>
      </c>
      <c r="V46">
        <f t="shared" si="5"/>
        <v>2.3290474538643767E-2</v>
      </c>
      <c r="W46">
        <f t="shared" si="6"/>
        <v>-0.13516419830258516</v>
      </c>
      <c r="X46">
        <f t="shared" si="7"/>
        <v>0.79399923338042055</v>
      </c>
      <c r="Y46">
        <f t="shared" si="8"/>
        <v>-4.3296604858100281E-2</v>
      </c>
      <c r="Z46">
        <f t="shared" si="9"/>
        <v>-0.27325105817775497</v>
      </c>
      <c r="AA46">
        <f t="shared" si="10"/>
        <v>-2.4458049263860974E-2</v>
      </c>
      <c r="AB46">
        <f t="shared" si="11"/>
        <v>-14.251678695378095</v>
      </c>
      <c r="AC46">
        <f t="shared" si="12"/>
        <v>-0.1103688273334737</v>
      </c>
    </row>
    <row r="47" spans="1:29" x14ac:dyDescent="0.25">
      <c r="A47">
        <v>45</v>
      </c>
      <c r="B47">
        <v>50</v>
      </c>
      <c r="C47">
        <v>30</v>
      </c>
      <c r="D47">
        <v>20</v>
      </c>
      <c r="E47">
        <v>300</v>
      </c>
      <c r="F47">
        <v>200.99600000000001</v>
      </c>
      <c r="G47">
        <v>300</v>
      </c>
      <c r="H47">
        <v>85.525999999999996</v>
      </c>
      <c r="I47">
        <v>0.11</v>
      </c>
      <c r="J47">
        <v>0.8</v>
      </c>
      <c r="K47">
        <v>234.5</v>
      </c>
      <c r="L47">
        <v>24.766999999999999</v>
      </c>
      <c r="M47">
        <v>64.236999999999995</v>
      </c>
      <c r="N47">
        <v>21.446000000000002</v>
      </c>
      <c r="Q47">
        <f t="shared" si="0"/>
        <v>9.5586358022570442E-2</v>
      </c>
      <c r="R47">
        <f t="shared" si="1"/>
        <v>-6.4706032195952862E-2</v>
      </c>
      <c r="S47">
        <f t="shared" si="2"/>
        <v>0.38538246404034066</v>
      </c>
      <c r="T47">
        <f t="shared" si="3"/>
        <v>0.26242839575579752</v>
      </c>
      <c r="U47">
        <f t="shared" si="4"/>
        <v>1.961484559797555</v>
      </c>
      <c r="V47">
        <f t="shared" si="5"/>
        <v>2.3290474538643767E-2</v>
      </c>
      <c r="W47">
        <f t="shared" si="6"/>
        <v>-0.13742132379609842</v>
      </c>
      <c r="X47">
        <f t="shared" si="7"/>
        <v>0.79399923338042055</v>
      </c>
      <c r="Y47">
        <f t="shared" si="8"/>
        <v>-4.3296604858100281E-2</v>
      </c>
      <c r="Z47">
        <f t="shared" si="9"/>
        <v>-0.27325105817775497</v>
      </c>
      <c r="AA47">
        <f t="shared" si="10"/>
        <v>-2.4458049263860974E-2</v>
      </c>
      <c r="AB47">
        <f t="shared" si="11"/>
        <v>-14.641609466609081</v>
      </c>
      <c r="AC47">
        <f t="shared" si="12"/>
        <v>-0.1103688273334737</v>
      </c>
    </row>
    <row r="48" spans="1:29" x14ac:dyDescent="0.25">
      <c r="A48">
        <v>46</v>
      </c>
      <c r="B48">
        <v>50</v>
      </c>
      <c r="C48">
        <v>30</v>
      </c>
      <c r="D48">
        <v>20</v>
      </c>
      <c r="E48">
        <v>300</v>
      </c>
      <c r="F48">
        <v>200.99600000000001</v>
      </c>
      <c r="G48">
        <v>300</v>
      </c>
      <c r="H48">
        <v>85.525000000000006</v>
      </c>
      <c r="I48">
        <v>0.11</v>
      </c>
      <c r="J48">
        <v>0.8</v>
      </c>
      <c r="K48">
        <v>234.5</v>
      </c>
      <c r="L48">
        <v>24.766999999999999</v>
      </c>
      <c r="M48">
        <v>64.171000000000006</v>
      </c>
      <c r="N48">
        <v>21.445</v>
      </c>
      <c r="Q48">
        <f t="shared" si="0"/>
        <v>9.5586358022570442E-2</v>
      </c>
      <c r="R48">
        <f t="shared" si="1"/>
        <v>-6.4706032195952862E-2</v>
      </c>
      <c r="S48">
        <f t="shared" si="2"/>
        <v>0.38538246404034066</v>
      </c>
      <c r="T48">
        <f t="shared" si="3"/>
        <v>0.26242839575579752</v>
      </c>
      <c r="U48">
        <f t="shared" si="4"/>
        <v>1.961484559797555</v>
      </c>
      <c r="V48">
        <f t="shared" si="5"/>
        <v>2.3290474538643767E-2</v>
      </c>
      <c r="W48">
        <f t="shared" si="6"/>
        <v>-0.13854988654283901</v>
      </c>
      <c r="X48">
        <f t="shared" si="7"/>
        <v>0.79399923338042055</v>
      </c>
      <c r="Y48">
        <f t="shared" si="8"/>
        <v>-4.3296604858100281E-2</v>
      </c>
      <c r="Z48">
        <f t="shared" si="9"/>
        <v>-0.27325105817775497</v>
      </c>
      <c r="AA48">
        <f t="shared" si="10"/>
        <v>-2.4458049263860974E-2</v>
      </c>
      <c r="AB48">
        <f t="shared" si="11"/>
        <v>-15.025720375582779</v>
      </c>
      <c r="AC48">
        <f t="shared" si="12"/>
        <v>-0.11525961731871573</v>
      </c>
    </row>
    <row r="49" spans="1:29" x14ac:dyDescent="0.25">
      <c r="A49">
        <v>47</v>
      </c>
      <c r="B49">
        <v>50</v>
      </c>
      <c r="C49">
        <v>30</v>
      </c>
      <c r="D49">
        <v>20</v>
      </c>
      <c r="E49">
        <v>300</v>
      </c>
      <c r="F49">
        <v>200.99700000000001</v>
      </c>
      <c r="G49">
        <v>300</v>
      </c>
      <c r="H49">
        <v>85.524000000000001</v>
      </c>
      <c r="I49">
        <v>0.11</v>
      </c>
      <c r="J49">
        <v>0.8</v>
      </c>
      <c r="K49">
        <v>234.5</v>
      </c>
      <c r="L49">
        <v>24.766999999999999</v>
      </c>
      <c r="M49">
        <v>64.103999999999999</v>
      </c>
      <c r="N49">
        <v>21.445</v>
      </c>
      <c r="Q49">
        <f t="shared" si="0"/>
        <v>9.5586358022570442E-2</v>
      </c>
      <c r="R49">
        <f t="shared" si="1"/>
        <v>-6.4706032195952862E-2</v>
      </c>
      <c r="S49">
        <f t="shared" si="2"/>
        <v>0.38538246404034066</v>
      </c>
      <c r="T49">
        <f t="shared" si="3"/>
        <v>0.26242839575579752</v>
      </c>
      <c r="U49">
        <f t="shared" si="4"/>
        <v>1.9633786159580484</v>
      </c>
      <c r="V49">
        <f t="shared" si="5"/>
        <v>2.3290474538643767E-2</v>
      </c>
      <c r="W49">
        <f t="shared" si="6"/>
        <v>-0.13967844928959561</v>
      </c>
      <c r="X49">
        <f t="shared" si="7"/>
        <v>0.79399923338042055</v>
      </c>
      <c r="Y49">
        <f t="shared" si="8"/>
        <v>-4.3296604858100281E-2</v>
      </c>
      <c r="Z49">
        <f t="shared" si="9"/>
        <v>-0.27325105817775497</v>
      </c>
      <c r="AA49">
        <f t="shared" si="10"/>
        <v>-2.4458049263860974E-2</v>
      </c>
      <c r="AB49">
        <f t="shared" si="11"/>
        <v>-15.415651146813765</v>
      </c>
      <c r="AC49">
        <f t="shared" si="12"/>
        <v>-0.11525961731871573</v>
      </c>
    </row>
    <row r="50" spans="1:29" x14ac:dyDescent="0.25">
      <c r="A50">
        <v>48</v>
      </c>
      <c r="B50">
        <v>50</v>
      </c>
      <c r="C50">
        <v>30</v>
      </c>
      <c r="D50">
        <v>20</v>
      </c>
      <c r="E50">
        <v>300</v>
      </c>
      <c r="F50">
        <v>200.99700000000001</v>
      </c>
      <c r="G50">
        <v>300</v>
      </c>
      <c r="H50">
        <v>85.522999999999996</v>
      </c>
      <c r="I50">
        <v>0.11</v>
      </c>
      <c r="J50">
        <v>0.8</v>
      </c>
      <c r="K50">
        <v>234.5</v>
      </c>
      <c r="L50">
        <v>24.766999999999999</v>
      </c>
      <c r="M50">
        <v>64.037999999999997</v>
      </c>
      <c r="N50">
        <v>21.445</v>
      </c>
      <c r="Q50">
        <f t="shared" si="0"/>
        <v>9.5586358022570442E-2</v>
      </c>
      <c r="R50">
        <f t="shared" si="1"/>
        <v>-6.4706032195952862E-2</v>
      </c>
      <c r="S50">
        <f t="shared" si="2"/>
        <v>0.38538246404034066</v>
      </c>
      <c r="T50">
        <f t="shared" si="3"/>
        <v>0.26242839575579752</v>
      </c>
      <c r="U50">
        <f t="shared" si="4"/>
        <v>1.9633786159580484</v>
      </c>
      <c r="V50">
        <f t="shared" si="5"/>
        <v>2.3290474538643767E-2</v>
      </c>
      <c r="W50">
        <f t="shared" si="6"/>
        <v>-0.14080701203635224</v>
      </c>
      <c r="X50">
        <f t="shared" si="7"/>
        <v>0.79399923338042055</v>
      </c>
      <c r="Y50">
        <f t="shared" si="8"/>
        <v>-4.3296604858100281E-2</v>
      </c>
      <c r="Z50">
        <f t="shared" si="9"/>
        <v>-0.27325105817775497</v>
      </c>
      <c r="AA50">
        <f t="shared" si="10"/>
        <v>-2.4458049263860974E-2</v>
      </c>
      <c r="AB50">
        <f t="shared" si="11"/>
        <v>-15.799762055787545</v>
      </c>
      <c r="AC50">
        <f t="shared" si="12"/>
        <v>-0.11525961731871573</v>
      </c>
    </row>
    <row r="51" spans="1:29" x14ac:dyDescent="0.25">
      <c r="A51">
        <v>49</v>
      </c>
      <c r="B51">
        <v>50</v>
      </c>
      <c r="C51">
        <v>30</v>
      </c>
      <c r="D51">
        <v>20</v>
      </c>
      <c r="E51">
        <v>300</v>
      </c>
      <c r="F51">
        <v>200.99799999999999</v>
      </c>
      <c r="G51">
        <v>300</v>
      </c>
      <c r="H51">
        <v>85.522000000000006</v>
      </c>
      <c r="I51">
        <v>0.11</v>
      </c>
      <c r="J51">
        <v>0.8</v>
      </c>
      <c r="K51">
        <v>234.5</v>
      </c>
      <c r="L51">
        <v>24.766999999999999</v>
      </c>
      <c r="M51">
        <v>63.970999999999997</v>
      </c>
      <c r="N51">
        <v>21.443999999999999</v>
      </c>
      <c r="Q51">
        <f t="shared" si="0"/>
        <v>9.5586358022570442E-2</v>
      </c>
      <c r="R51">
        <f t="shared" si="1"/>
        <v>-6.4706032195952862E-2</v>
      </c>
      <c r="S51">
        <f t="shared" si="2"/>
        <v>0.38538246404034066</v>
      </c>
      <c r="T51">
        <f t="shared" si="3"/>
        <v>0.26242839575579752</v>
      </c>
      <c r="U51">
        <f t="shared" si="4"/>
        <v>1.9652726721184879</v>
      </c>
      <c r="V51">
        <f t="shared" si="5"/>
        <v>2.3290474538643767E-2</v>
      </c>
      <c r="W51">
        <f t="shared" si="6"/>
        <v>-0.14193557478309282</v>
      </c>
      <c r="X51">
        <f t="shared" si="7"/>
        <v>0.79399923338042055</v>
      </c>
      <c r="Y51">
        <f t="shared" si="8"/>
        <v>-4.3296604858100281E-2</v>
      </c>
      <c r="Z51">
        <f t="shared" si="9"/>
        <v>-0.27325105817775497</v>
      </c>
      <c r="AA51">
        <f t="shared" si="10"/>
        <v>-2.4458049263860974E-2</v>
      </c>
      <c r="AB51">
        <f t="shared" si="11"/>
        <v>-16.18969282701849</v>
      </c>
      <c r="AC51">
        <f t="shared" si="12"/>
        <v>-0.12015040730395775</v>
      </c>
    </row>
    <row r="52" spans="1:29" x14ac:dyDescent="0.25">
      <c r="A52">
        <v>50</v>
      </c>
      <c r="B52">
        <v>50</v>
      </c>
      <c r="C52">
        <v>30</v>
      </c>
      <c r="D52">
        <v>20</v>
      </c>
      <c r="E52">
        <v>300</v>
      </c>
      <c r="F52">
        <v>200.99799999999999</v>
      </c>
      <c r="G52">
        <v>300</v>
      </c>
      <c r="H52">
        <v>85.521000000000001</v>
      </c>
      <c r="I52">
        <v>0.11</v>
      </c>
      <c r="J52">
        <v>0.8</v>
      </c>
      <c r="K52">
        <v>234.5</v>
      </c>
      <c r="L52">
        <v>24.766999999999999</v>
      </c>
      <c r="M52">
        <v>63.904000000000003</v>
      </c>
      <c r="N52">
        <v>21.443999999999999</v>
      </c>
      <c r="Q52">
        <f t="shared" si="0"/>
        <v>9.5586358022570442E-2</v>
      </c>
      <c r="R52">
        <f t="shared" si="1"/>
        <v>-6.4706032195952862E-2</v>
      </c>
      <c r="S52">
        <f t="shared" si="2"/>
        <v>0.38538246404034066</v>
      </c>
      <c r="T52">
        <f t="shared" si="3"/>
        <v>0.26242839575579752</v>
      </c>
      <c r="U52">
        <f t="shared" si="4"/>
        <v>1.9652726721184879</v>
      </c>
      <c r="V52">
        <f t="shared" si="5"/>
        <v>2.3290474538643767E-2</v>
      </c>
      <c r="W52">
        <f t="shared" si="6"/>
        <v>-0.14306413752984945</v>
      </c>
      <c r="X52">
        <f t="shared" si="7"/>
        <v>0.79399923338042055</v>
      </c>
      <c r="Y52">
        <f t="shared" si="8"/>
        <v>-4.3296604858100281E-2</v>
      </c>
      <c r="Z52">
        <f t="shared" si="9"/>
        <v>-0.27325105817775497</v>
      </c>
      <c r="AA52">
        <f t="shared" si="10"/>
        <v>-2.4458049263860974E-2</v>
      </c>
      <c r="AB52">
        <f t="shared" si="11"/>
        <v>-16.579623598249395</v>
      </c>
      <c r="AC52">
        <f t="shared" si="12"/>
        <v>-0.12015040730395775</v>
      </c>
    </row>
    <row r="54" spans="1:29" x14ac:dyDescent="0.25">
      <c r="A54" t="s">
        <v>18</v>
      </c>
      <c r="B54">
        <v>49.993400000000001</v>
      </c>
      <c r="C54">
        <v>30.004333333333332</v>
      </c>
      <c r="D54">
        <v>19.949700000000004</v>
      </c>
      <c r="E54">
        <v>299.84463333333332</v>
      </c>
      <c r="F54">
        <v>199.96040000000002</v>
      </c>
      <c r="G54">
        <v>299.95993333333331</v>
      </c>
      <c r="H54">
        <v>85.647766666666683</v>
      </c>
      <c r="I54">
        <v>0.1095</v>
      </c>
      <c r="J54">
        <v>0.80009999999999992</v>
      </c>
      <c r="K54">
        <v>234.51220000000001</v>
      </c>
      <c r="L54">
        <v>24.777366666666669</v>
      </c>
      <c r="M54">
        <v>66.752799999999993</v>
      </c>
      <c r="N54">
        <v>21.468566666666664</v>
      </c>
      <c r="Q54" s="3">
        <f>AVERAGE(Q3:Q52)</f>
        <v>6.2855271790601963E-2</v>
      </c>
      <c r="R54" s="3">
        <f t="shared" ref="R54:AC54" si="13">AVERAGE(R3:R52)</f>
        <v>-6.4706032195952834E-2</v>
      </c>
      <c r="S54" s="3">
        <f t="shared" si="13"/>
        <v>0.38538246404034043</v>
      </c>
      <c r="T54" s="3">
        <f t="shared" si="13"/>
        <v>0.26242839575579768</v>
      </c>
      <c r="U54" s="3">
        <f t="shared" si="13"/>
        <v>1.6285473679076032</v>
      </c>
      <c r="V54" s="3">
        <f t="shared" si="13"/>
        <v>2.3290474538643757E-2</v>
      </c>
      <c r="W54" s="3">
        <f t="shared" si="13"/>
        <v>-4.262205306899023E-2</v>
      </c>
      <c r="X54" s="3">
        <f t="shared" si="13"/>
        <v>0.79399923338042055</v>
      </c>
      <c r="Y54" s="3">
        <f t="shared" si="13"/>
        <v>-4.3296604858100281E-2</v>
      </c>
      <c r="Z54" s="3">
        <f t="shared" si="13"/>
        <v>-0.2732510581777548</v>
      </c>
      <c r="AA54" s="3">
        <f t="shared" si="13"/>
        <v>-2.4458049263860991E-2</v>
      </c>
      <c r="AB54" s="3">
        <f t="shared" si="13"/>
        <v>-7.424165486991984</v>
      </c>
      <c r="AC54" s="3">
        <f t="shared" si="13"/>
        <v>-1.0107632636142172E-2</v>
      </c>
    </row>
    <row r="55" spans="1:29" x14ac:dyDescent="0.25">
      <c r="A55" t="s">
        <v>19</v>
      </c>
      <c r="B55">
        <v>6.9047509880441268E-2</v>
      </c>
      <c r="C55">
        <v>6.6969541884575004E-2</v>
      </c>
      <c r="D55">
        <v>0.13051969067988317</v>
      </c>
      <c r="E55">
        <v>0.59203450990591833</v>
      </c>
      <c r="F55">
        <v>0.52796744936237094</v>
      </c>
      <c r="G55">
        <v>1.7203027186161606</v>
      </c>
      <c r="H55">
        <v>0.88608276578212064</v>
      </c>
      <c r="I55">
        <v>6.2972352992240316E-4</v>
      </c>
      <c r="J55">
        <v>2.3096499212263096E-3</v>
      </c>
      <c r="K55">
        <v>4.4647585562397944E-2</v>
      </c>
      <c r="L55">
        <v>0.42385500801110293</v>
      </c>
      <c r="M55">
        <v>0.17182537245904597</v>
      </c>
      <c r="N55">
        <v>0.20446594579172805</v>
      </c>
      <c r="Q55" s="3">
        <f>_xlfn.STDEV.S(Q3:Q52)</f>
        <v>2.3372938119641192E-2</v>
      </c>
      <c r="R55" s="3">
        <f t="shared" ref="R55:AC55" si="14">_xlfn.STDEV.S(R3:R52)</f>
        <v>2.8037365333638842E-17</v>
      </c>
      <c r="S55" s="3">
        <f t="shared" si="14"/>
        <v>2.2429892266911074E-16</v>
      </c>
      <c r="T55" s="3">
        <f t="shared" si="14"/>
        <v>1.6822419200183304E-16</v>
      </c>
      <c r="U55" s="3">
        <f t="shared" si="14"/>
        <v>0.504042137640488</v>
      </c>
      <c r="V55" s="3">
        <f t="shared" si="14"/>
        <v>1.0514012000114565E-17</v>
      </c>
      <c r="W55" s="3">
        <f t="shared" si="14"/>
        <v>8.0653209640194498E-2</v>
      </c>
      <c r="X55" s="3">
        <f t="shared" si="14"/>
        <v>0</v>
      </c>
      <c r="Y55" s="3">
        <f t="shared" si="14"/>
        <v>0</v>
      </c>
      <c r="Z55" s="3">
        <f t="shared" si="14"/>
        <v>1.6822419200183304E-16</v>
      </c>
      <c r="AA55" s="3">
        <f t="shared" si="14"/>
        <v>1.7523353333524274E-17</v>
      </c>
      <c r="AB55" s="3">
        <f t="shared" si="14"/>
        <v>5.2335180331223308</v>
      </c>
      <c r="AC55" s="3">
        <f t="shared" si="14"/>
        <v>8.7757916744110917E-2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B75D-CFF9-4F1F-B2F4-A87785801910}">
  <sheetPr>
    <tabColor theme="4" tint="0.59999389629810485"/>
  </sheetPr>
  <dimension ref="A1:F50"/>
  <sheetViews>
    <sheetView topLeftCell="A18" workbookViewId="0">
      <selection sqref="A1:E50"/>
    </sheetView>
  </sheetViews>
  <sheetFormatPr defaultRowHeight="15" x14ac:dyDescent="0.25"/>
  <sheetData>
    <row r="1" spans="1:5" x14ac:dyDescent="0.25">
      <c r="A1" cm="1">
        <f t="array" ref="A1:E50">MMULT('Step 5 - NOC6 - X &amp; X̆'!Q3:AC52,Archive_Eiegenvectors!A1:E13)</f>
        <v>-0.1020904717592668</v>
      </c>
      <c r="B1">
        <v>0.15730130768500211</v>
      </c>
      <c r="C1">
        <v>-0.57874783175036737</v>
      </c>
      <c r="D1">
        <v>0.30823762029616858</v>
      </c>
      <c r="E1">
        <v>7.0342332653715228E-2</v>
      </c>
    </row>
    <row r="2" spans="1:5" x14ac:dyDescent="0.25">
      <c r="A2">
        <v>-0.1020904717592668</v>
      </c>
      <c r="B2">
        <v>0.15730130768500211</v>
      </c>
      <c r="C2">
        <v>-0.57874783175036737</v>
      </c>
      <c r="D2">
        <v>0.30823762029616858</v>
      </c>
      <c r="E2">
        <v>7.0342332653715228E-2</v>
      </c>
    </row>
    <row r="3" spans="1:5" x14ac:dyDescent="0.25">
      <c r="A3">
        <v>-0.21933489977069318</v>
      </c>
      <c r="B3">
        <v>0.30132424421976672</v>
      </c>
      <c r="C3">
        <v>-0.4902058388662871</v>
      </c>
      <c r="D3">
        <v>0.42507537278949947</v>
      </c>
      <c r="E3">
        <v>9.2873807888662951E-2</v>
      </c>
    </row>
    <row r="4" spans="1:5" x14ac:dyDescent="0.25">
      <c r="A4">
        <v>-0.14136050154861712</v>
      </c>
      <c r="B4">
        <v>0.20996764152174674</v>
      </c>
      <c r="C4">
        <v>-0.55371320057820039</v>
      </c>
      <c r="D4">
        <v>0.36052528884315138</v>
      </c>
      <c r="E4">
        <v>8.6822264349252221E-2</v>
      </c>
    </row>
    <row r="5" spans="1:5" x14ac:dyDescent="0.25">
      <c r="A5">
        <v>-0.17244149280408733</v>
      </c>
      <c r="B5">
        <v>0.24988383062992575</v>
      </c>
      <c r="C5">
        <v>-0.53569743948174076</v>
      </c>
      <c r="D5">
        <v>0.39533554473552207</v>
      </c>
      <c r="E5">
        <v>9.7648501788670822E-2</v>
      </c>
    </row>
    <row r="6" spans="1:5" x14ac:dyDescent="0.25">
      <c r="A6">
        <v>-0.11128640380171456</v>
      </c>
      <c r="B6">
        <v>0.17486183238959851</v>
      </c>
      <c r="C6">
        <v>-0.5935807109739144</v>
      </c>
      <c r="D6">
        <v>0.33971142910812424</v>
      </c>
      <c r="E6">
        <v>9.7152693344476612E-2</v>
      </c>
    </row>
    <row r="7" spans="1:5" x14ac:dyDescent="0.25">
      <c r="A7">
        <v>-8.9183138042413207E-2</v>
      </c>
      <c r="B7">
        <v>0.14942619849222674</v>
      </c>
      <c r="C7">
        <v>-0.61145303362047243</v>
      </c>
      <c r="D7">
        <v>0.32691990321795839</v>
      </c>
      <c r="E7">
        <v>9.967399162741522E-2</v>
      </c>
    </row>
    <row r="8" spans="1:5" x14ac:dyDescent="0.25">
      <c r="A8">
        <v>-2.5369014734285156E-2</v>
      </c>
      <c r="B8">
        <v>7.054780213371166E-2</v>
      </c>
      <c r="C8">
        <v>-0.67155893010373424</v>
      </c>
      <c r="D8">
        <v>0.26818634720623419</v>
      </c>
      <c r="E8">
        <v>9.9223466315185763E-2</v>
      </c>
    </row>
    <row r="9" spans="1:5" x14ac:dyDescent="0.25">
      <c r="A9">
        <v>2.5539965292389749E-2</v>
      </c>
      <c r="B9">
        <v>9.342558363382665E-3</v>
      </c>
      <c r="C9">
        <v>-0.71298524041029032</v>
      </c>
      <c r="D9">
        <v>0.2270669456307409</v>
      </c>
      <c r="E9">
        <v>9.8341770740695417E-2</v>
      </c>
    </row>
    <row r="10" spans="1:5" x14ac:dyDescent="0.25">
      <c r="A10">
        <v>9.5426732102448397E-2</v>
      </c>
      <c r="B10">
        <v>-8.0367277917102312E-2</v>
      </c>
      <c r="C10">
        <v>-0.77846393769460021</v>
      </c>
      <c r="D10">
        <v>0.15992651470016789</v>
      </c>
      <c r="E10">
        <v>9.8274437340377538E-2</v>
      </c>
    </row>
    <row r="11" spans="1:5" x14ac:dyDescent="0.25">
      <c r="A11">
        <v>0.16189988971637861</v>
      </c>
      <c r="B11">
        <v>-0.16310207239383859</v>
      </c>
      <c r="C11">
        <v>-0.84079245916899259</v>
      </c>
      <c r="D11">
        <v>9.8083518304095896E-2</v>
      </c>
      <c r="E11">
        <v>9.7869195160097677E-2</v>
      </c>
    </row>
    <row r="12" spans="1:5" x14ac:dyDescent="0.25">
      <c r="A12">
        <v>0.24444197106655008</v>
      </c>
      <c r="B12">
        <v>-0.26633185315824248</v>
      </c>
      <c r="C12">
        <v>-0.90848022298102638</v>
      </c>
      <c r="D12">
        <v>2.3922995271231085E-2</v>
      </c>
      <c r="E12">
        <v>9.4035071884291693E-2</v>
      </c>
    </row>
    <row r="13" spans="1:5" x14ac:dyDescent="0.25">
      <c r="A13">
        <v>0.32443865260411403</v>
      </c>
      <c r="B13">
        <v>-0.36587128054746471</v>
      </c>
      <c r="C13">
        <v>-0.98192167333878078</v>
      </c>
      <c r="D13">
        <v>-5.1207655823807818E-2</v>
      </c>
      <c r="E13">
        <v>9.2097318839540976E-2</v>
      </c>
    </row>
    <row r="14" spans="1:5" x14ac:dyDescent="0.25">
      <c r="A14">
        <v>0.40902138761790696</v>
      </c>
      <c r="B14">
        <v>-0.47382597910579027</v>
      </c>
      <c r="C14">
        <v>-1.059398719435289</v>
      </c>
      <c r="D14">
        <v>-0.13280411897828429</v>
      </c>
      <c r="E14">
        <v>9.0272159822416376E-2</v>
      </c>
    </row>
    <row r="15" spans="1:5" x14ac:dyDescent="0.25">
      <c r="A15">
        <v>0.49626315693749867</v>
      </c>
      <c r="B15">
        <v>-0.58563707578232171</v>
      </c>
      <c r="C15">
        <v>-1.1390983905229202</v>
      </c>
      <c r="D15">
        <v>-0.217510022517098</v>
      </c>
      <c r="E15">
        <v>8.8492283937235378E-2</v>
      </c>
    </row>
    <row r="16" spans="1:5" x14ac:dyDescent="0.25">
      <c r="A16">
        <v>0.59074582463221004</v>
      </c>
      <c r="B16">
        <v>-0.70244081623062149</v>
      </c>
      <c r="C16">
        <v>-1.2243935794036918</v>
      </c>
      <c r="D16">
        <v>-0.30621162603166902</v>
      </c>
      <c r="E16">
        <v>8.4450805563926548E-2</v>
      </c>
    </row>
    <row r="17" spans="1:6" x14ac:dyDescent="0.25">
      <c r="A17">
        <v>0.68560682712378984</v>
      </c>
      <c r="B17">
        <v>-0.8226236349005408</v>
      </c>
      <c r="C17">
        <v>-1.3103182194280236</v>
      </c>
      <c r="D17">
        <v>-0.39740211473829762</v>
      </c>
      <c r="E17">
        <v>8.11605099265508E-2</v>
      </c>
    </row>
    <row r="18" spans="1:6" x14ac:dyDescent="0.25">
      <c r="A18">
        <v>0.78832920333616585</v>
      </c>
      <c r="B18">
        <v>-0.95057009042434837</v>
      </c>
      <c r="C18">
        <v>-1.3946030714204989</v>
      </c>
      <c r="D18">
        <v>-0.49105157991744169</v>
      </c>
      <c r="E18">
        <v>7.4854670498150436E-2</v>
      </c>
    </row>
    <row r="19" spans="1:6" x14ac:dyDescent="0.25">
      <c r="A19">
        <v>0.88888451453277484</v>
      </c>
      <c r="B19">
        <v>-1.0782052707945926</v>
      </c>
      <c r="C19">
        <v>-1.4852710611022917</v>
      </c>
      <c r="D19">
        <v>-0.58816005835084173</v>
      </c>
      <c r="E19">
        <v>7.1196384036761359E-2</v>
      </c>
    </row>
    <row r="20" spans="1:6" x14ac:dyDescent="0.25">
      <c r="A20">
        <v>0.98716650231123659</v>
      </c>
      <c r="B20">
        <v>-1.2018942730847768</v>
      </c>
      <c r="C20">
        <v>-1.5816836621608164</v>
      </c>
      <c r="D20">
        <v>-0.68605016827440646</v>
      </c>
      <c r="E20">
        <v>6.8825897793621499E-2</v>
      </c>
    </row>
    <row r="21" spans="1:6" x14ac:dyDescent="0.25">
      <c r="A21">
        <v>1.0923057722806435</v>
      </c>
      <c r="B21">
        <v>-1.3343052118663616</v>
      </c>
      <c r="C21">
        <v>-1.6760558961130114</v>
      </c>
      <c r="D21">
        <v>-0.78683468253324096</v>
      </c>
      <c r="E21">
        <v>6.4070465536000334E-2</v>
      </c>
    </row>
    <row r="22" spans="1:6" x14ac:dyDescent="0.25">
      <c r="A22">
        <v>1.1970688021565836</v>
      </c>
      <c r="B22">
        <v>-1.4669765851840271</v>
      </c>
      <c r="C22">
        <v>-1.7701300303899683</v>
      </c>
      <c r="D22">
        <v>-0.88792008783397447</v>
      </c>
      <c r="E22">
        <v>5.9773590366300193E-2</v>
      </c>
    </row>
    <row r="23" spans="1:6" x14ac:dyDescent="0.25">
      <c r="A23">
        <v>1.3069999182419385</v>
      </c>
      <c r="B23">
        <v>-1.6015043188379396</v>
      </c>
      <c r="C23">
        <v>-1.8680197674333896</v>
      </c>
      <c r="D23">
        <v>-0.99047594148860096</v>
      </c>
      <c r="E23">
        <v>5.3057172200331744E-2</v>
      </c>
    </row>
    <row r="24" spans="1:6" x14ac:dyDescent="0.25">
      <c r="A24">
        <v>1.4159706667972476</v>
      </c>
      <c r="B24">
        <v>-1.7392118851030645</v>
      </c>
      <c r="C24">
        <v>-1.9655000463055408</v>
      </c>
      <c r="D24">
        <v>-1.0955382736566959</v>
      </c>
      <c r="E24">
        <v>4.8121708322306708E-2</v>
      </c>
    </row>
    <row r="25" spans="1:6" x14ac:dyDescent="0.25">
      <c r="A25">
        <v>1.5270742271627054</v>
      </c>
      <c r="B25">
        <v>-1.8751798481223114</v>
      </c>
      <c r="C25">
        <v>-2.064275203277794</v>
      </c>
      <c r="D25">
        <v>-1.1992625048362446</v>
      </c>
      <c r="E25">
        <v>4.1179975403990939E-2</v>
      </c>
    </row>
    <row r="26" spans="1:6" x14ac:dyDescent="0.25">
      <c r="A26">
        <v>1.6386602860240396</v>
      </c>
      <c r="B26">
        <v>-2.0145222795319855</v>
      </c>
      <c r="C26">
        <v>-2.1639869862378949</v>
      </c>
      <c r="D26">
        <v>-1.3053632267379982</v>
      </c>
      <c r="E26">
        <v>3.5139438146514754E-2</v>
      </c>
    </row>
    <row r="27" spans="1:6" x14ac:dyDescent="0.25">
      <c r="A27">
        <v>1.7527991207887412</v>
      </c>
      <c r="B27">
        <v>-2.1540862061333415</v>
      </c>
      <c r="C27">
        <v>-2.2652828678764934</v>
      </c>
      <c r="D27">
        <v>-1.411896007259974</v>
      </c>
      <c r="E27">
        <v>2.7784431272231069E-2</v>
      </c>
    </row>
    <row r="28" spans="1:6" x14ac:dyDescent="0.25">
      <c r="A28">
        <v>1.8617356161385032</v>
      </c>
      <c r="B28">
        <v>-2.2897428939990769</v>
      </c>
      <c r="C28">
        <v>-2.3704411625380635</v>
      </c>
      <c r="D28">
        <v>-1.5190792516937948</v>
      </c>
      <c r="E28">
        <v>2.3490251320897704E-2</v>
      </c>
    </row>
    <row r="29" spans="1:6" x14ac:dyDescent="0.25">
      <c r="A29">
        <v>1.9750803414199896</v>
      </c>
      <c r="B29">
        <v>-2.4312456694567537</v>
      </c>
      <c r="C29">
        <v>-2.4714810753914085</v>
      </c>
      <c r="D29">
        <v>-1.6269325398829326</v>
      </c>
      <c r="E29">
        <v>1.7111741934897364E-2</v>
      </c>
    </row>
    <row r="30" spans="1:6" x14ac:dyDescent="0.25">
      <c r="A30">
        <v>2.092044468537321</v>
      </c>
      <c r="B30">
        <v>-2.5734250104214089</v>
      </c>
      <c r="C30">
        <v>-2.5751530714071498</v>
      </c>
      <c r="D30">
        <v>-1.735388789942927</v>
      </c>
      <c r="E30">
        <v>8.9975613928954118E-3</v>
      </c>
    </row>
    <row r="31" spans="1:6" x14ac:dyDescent="0.25">
      <c r="A31">
        <v>2.2081082277690496</v>
      </c>
      <c r="B31">
        <v>-2.7139082973159105</v>
      </c>
      <c r="C31">
        <v>-2.6779305723250473</v>
      </c>
      <c r="D31">
        <v>-1.8424881659060088</v>
      </c>
      <c r="E31">
        <v>5.0012559042078575E-4</v>
      </c>
      <c r="F31" s="21"/>
    </row>
    <row r="32" spans="1:6" x14ac:dyDescent="0.25">
      <c r="A32">
        <v>2.3256585770264335</v>
      </c>
      <c r="B32">
        <v>-2.8568077529632481</v>
      </c>
      <c r="C32">
        <v>-2.7820452783052065</v>
      </c>
      <c r="D32">
        <v>-1.9515286047284757</v>
      </c>
      <c r="E32">
        <v>-7.7267123277509446E-3</v>
      </c>
    </row>
    <row r="33" spans="1:5" x14ac:dyDescent="0.25">
      <c r="A33">
        <v>2.4389690491024067</v>
      </c>
      <c r="B33">
        <v>-2.9962596500215617</v>
      </c>
      <c r="C33">
        <v>-2.8907632069479985</v>
      </c>
      <c r="D33">
        <v>-2.0615028051833595</v>
      </c>
      <c r="E33">
        <v>-1.3463937787067854E-2</v>
      </c>
    </row>
    <row r="34" spans="1:5" x14ac:dyDescent="0.25">
      <c r="A34">
        <v>2.5568956384532475</v>
      </c>
      <c r="B34">
        <v>-3.1388986711327931</v>
      </c>
      <c r="C34">
        <v>-2.9951760126033866</v>
      </c>
      <c r="D34">
        <v>-2.1702423529639083</v>
      </c>
      <c r="E34">
        <v>-2.2149332793163005E-2</v>
      </c>
    </row>
    <row r="35" spans="1:5" x14ac:dyDescent="0.25">
      <c r="A35">
        <v>2.6759946720841827</v>
      </c>
      <c r="B35">
        <v>-3.2829779216093478</v>
      </c>
      <c r="C35">
        <v>-3.1004742381875969</v>
      </c>
      <c r="D35">
        <v>-2.2801502782693728</v>
      </c>
      <c r="E35">
        <v>-3.1060042551605094E-2</v>
      </c>
    </row>
    <row r="36" spans="1:5" x14ac:dyDescent="0.25">
      <c r="A36">
        <v>2.7948837236685504</v>
      </c>
      <c r="B36">
        <v>-3.4260766228671735</v>
      </c>
      <c r="C36">
        <v>-3.2056278534826457</v>
      </c>
      <c r="D36">
        <v>-2.389173123770493</v>
      </c>
      <c r="E36">
        <v>-4.0316652021795657E-2</v>
      </c>
    </row>
    <row r="37" spans="1:5" x14ac:dyDescent="0.25">
      <c r="A37">
        <v>2.913772775252903</v>
      </c>
      <c r="B37">
        <v>-3.5691753241249806</v>
      </c>
      <c r="C37">
        <v>-3.3107814687776824</v>
      </c>
      <c r="D37">
        <v>-2.4981959692715971</v>
      </c>
      <c r="E37">
        <v>-4.9573261491983052E-2</v>
      </c>
    </row>
    <row r="38" spans="1:5" x14ac:dyDescent="0.25">
      <c r="A38">
        <v>3.0280457095623379</v>
      </c>
      <c r="B38">
        <v>-3.7090869013298167</v>
      </c>
      <c r="C38">
        <v>-3.4202402070601403</v>
      </c>
      <c r="D38">
        <v>-2.6084534674470192</v>
      </c>
      <c r="E38">
        <v>-5.5881701415373734E-2</v>
      </c>
    </row>
    <row r="39" spans="1:5" x14ac:dyDescent="0.25">
      <c r="A39">
        <v>3.1492775550034811</v>
      </c>
      <c r="B39">
        <v>-3.8514265485605512</v>
      </c>
      <c r="C39">
        <v>-3.5268333107445033</v>
      </c>
      <c r="D39">
        <v>-2.7170232917639812</v>
      </c>
      <c r="E39">
        <v>-6.6798680214118389E-2</v>
      </c>
    </row>
    <row r="40" spans="1:5" x14ac:dyDescent="0.25">
      <c r="A40">
        <v>3.2706156588470066</v>
      </c>
      <c r="B40">
        <v>-3.9974010987177784</v>
      </c>
      <c r="C40">
        <v>-3.6340649407414514</v>
      </c>
      <c r="D40">
        <v>-2.8282704978450353</v>
      </c>
      <c r="E40">
        <v>-7.6355906264098855E-2</v>
      </c>
    </row>
    <row r="41" spans="1:5" x14ac:dyDescent="0.25">
      <c r="A41">
        <v>3.3904671726648745</v>
      </c>
      <c r="B41">
        <v>-4.1409594801221559</v>
      </c>
      <c r="C41">
        <v>-3.739959365676139</v>
      </c>
      <c r="D41">
        <v>-2.9375766410666899</v>
      </c>
      <c r="E41">
        <v>-8.6183730198384989E-2</v>
      </c>
    </row>
    <row r="42" spans="1:5" x14ac:dyDescent="0.25">
      <c r="A42">
        <v>3.5120752581994679</v>
      </c>
      <c r="B42">
        <v>-4.2830386928167883</v>
      </c>
      <c r="C42">
        <v>-3.8468505690357273</v>
      </c>
      <c r="D42">
        <v>-3.0458455743417372</v>
      </c>
      <c r="E42">
        <v>-9.7559266085046559E-2</v>
      </c>
    </row>
    <row r="43" spans="1:5" x14ac:dyDescent="0.25">
      <c r="A43">
        <v>3.6337896021364386</v>
      </c>
      <c r="B43">
        <v>-4.4287528084378831</v>
      </c>
      <c r="C43">
        <v>-3.9543802987078953</v>
      </c>
      <c r="D43">
        <v>-3.1567918893808518</v>
      </c>
      <c r="E43">
        <v>-0.1075750492229528</v>
      </c>
    </row>
    <row r="44" spans="1:5" x14ac:dyDescent="0.25">
      <c r="A44">
        <v>3.7507815703961525</v>
      </c>
      <c r="B44">
        <v>-4.5676448970795738</v>
      </c>
      <c r="C44">
        <v>-4.065576625054879</v>
      </c>
      <c r="D44">
        <v>-3.2662954753302134</v>
      </c>
      <c r="E44">
        <v>-0.11600241556284041</v>
      </c>
    </row>
    <row r="45" spans="1:5" x14ac:dyDescent="0.25">
      <c r="A45">
        <v>3.8742524860498695</v>
      </c>
      <c r="B45">
        <v>-4.7118798439909595</v>
      </c>
      <c r="C45">
        <v>-4.1741031331519673</v>
      </c>
      <c r="D45">
        <v>-3.3762045804227481</v>
      </c>
      <c r="E45">
        <v>-0.12756591065311923</v>
      </c>
    </row>
    <row r="46" spans="1:5" x14ac:dyDescent="0.25">
      <c r="A46">
        <v>3.9950664621012275</v>
      </c>
      <c r="B46">
        <v>-4.8558979055418776</v>
      </c>
      <c r="C46">
        <v>-4.2807383677262827</v>
      </c>
      <c r="D46">
        <v>-3.4857940213649306</v>
      </c>
      <c r="E46">
        <v>-0.13796494905150139</v>
      </c>
    </row>
    <row r="47" spans="1:5" x14ac:dyDescent="0.25">
      <c r="A47">
        <v>4.1189136178484018</v>
      </c>
      <c r="B47">
        <v>-4.9998724179171568</v>
      </c>
      <c r="C47">
        <v>-4.3895629754985999</v>
      </c>
      <c r="D47">
        <v>-3.5954022354155466</v>
      </c>
      <c r="E47">
        <v>-0.14998700122970374</v>
      </c>
    </row>
    <row r="48" spans="1:5" x14ac:dyDescent="0.25">
      <c r="A48">
        <v>4.2414841656165114</v>
      </c>
      <c r="B48">
        <v>-5.1424113107583587</v>
      </c>
      <c r="C48">
        <v>-4.4971949884978395</v>
      </c>
      <c r="D48">
        <v>-3.7039544664111439</v>
      </c>
      <c r="E48">
        <v>-0.16193375158046405</v>
      </c>
    </row>
    <row r="49" spans="1:5" x14ac:dyDescent="0.25">
      <c r="A49">
        <v>4.3635747496469621</v>
      </c>
      <c r="B49">
        <v>-5.2878649918433904</v>
      </c>
      <c r="C49">
        <v>-4.6050228178452572</v>
      </c>
      <c r="D49">
        <v>-3.8145998904083722</v>
      </c>
      <c r="E49">
        <v>-0.17240809180629268</v>
      </c>
    </row>
    <row r="50" spans="1:5" x14ac:dyDescent="0.25">
      <c r="A50">
        <v>4.4880081275341697</v>
      </c>
      <c r="B50">
        <v>-5.4325596189013172</v>
      </c>
      <c r="C50">
        <v>-4.7142901355819742</v>
      </c>
      <c r="D50">
        <v>-3.9247922932214356</v>
      </c>
      <c r="E50">
        <v>-0.1845428013606677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73805-FB46-4AF2-9AF0-B355F703217B}">
  <sheetPr>
    <tabColor theme="9" tint="0.39997558519241921"/>
  </sheetPr>
  <dimension ref="A1:I54"/>
  <sheetViews>
    <sheetView workbookViewId="0">
      <selection activeCell="L14" sqref="L14"/>
    </sheetView>
  </sheetViews>
  <sheetFormatPr defaultRowHeight="15" x14ac:dyDescent="0.25"/>
  <cols>
    <col min="1" max="1" width="20.42578125" bestFit="1" customWidth="1"/>
    <col min="8" max="8" width="9.140625" style="2"/>
  </cols>
  <sheetData>
    <row r="1" spans="1:9" x14ac:dyDescent="0.25">
      <c r="A1" t="s">
        <v>40</v>
      </c>
      <c r="B1">
        <v>4.06301570844031</v>
      </c>
      <c r="C1">
        <v>2.1702855043291098</v>
      </c>
      <c r="D1">
        <v>1.6008862070974099</v>
      </c>
      <c r="E1">
        <v>1.3174486883505201</v>
      </c>
      <c r="F1">
        <v>1.1342010930034301</v>
      </c>
    </row>
    <row r="3" spans="1:9" x14ac:dyDescent="0.25">
      <c r="B3" s="29" t="s">
        <v>20</v>
      </c>
      <c r="C3" s="29"/>
      <c r="D3" s="29"/>
      <c r="E3" s="29"/>
      <c r="F3" s="29"/>
    </row>
    <row r="4" spans="1:9" x14ac:dyDescent="0.25">
      <c r="A4" s="4" t="s">
        <v>0</v>
      </c>
      <c r="B4" s="28">
        <v>1</v>
      </c>
      <c r="C4" s="28">
        <v>2</v>
      </c>
      <c r="D4" s="28">
        <v>3</v>
      </c>
      <c r="E4" s="28">
        <v>4</v>
      </c>
      <c r="F4" s="28">
        <v>5</v>
      </c>
      <c r="H4" s="2" t="s">
        <v>21</v>
      </c>
      <c r="I4" s="18" t="s">
        <v>44</v>
      </c>
    </row>
    <row r="5" spans="1:9" x14ac:dyDescent="0.25">
      <c r="A5" s="4">
        <v>1</v>
      </c>
      <c r="B5" s="4">
        <v>-0.1020904717592668</v>
      </c>
      <c r="C5" s="4">
        <v>0.15730130768500211</v>
      </c>
      <c r="D5" s="4">
        <v>-0.57874783175036737</v>
      </c>
      <c r="E5" s="4">
        <v>0.30823762029616858</v>
      </c>
      <c r="F5" s="4">
        <v>7.0342332653715228E-2</v>
      </c>
      <c r="H5" s="2">
        <f>(B5^2)/$B$1+(C5^2)/$C$1+(D5^2)/$D$1+(E5^2)/$E$1+(F5^2)/$F$1</f>
        <v>0.29967317084861328</v>
      </c>
    </row>
    <row r="6" spans="1:9" x14ac:dyDescent="0.25">
      <c r="A6" s="4">
        <v>2</v>
      </c>
      <c r="B6" s="4">
        <v>-0.1020904717592668</v>
      </c>
      <c r="C6" s="4">
        <v>0.15730130768500211</v>
      </c>
      <c r="D6" s="4">
        <v>-0.57874783175036737</v>
      </c>
      <c r="E6" s="4">
        <v>0.30823762029616858</v>
      </c>
      <c r="F6" s="4">
        <v>7.0342332653715228E-2</v>
      </c>
      <c r="H6" s="2">
        <f>(B6^2)/$B$1+(C6^2)/$C$1+(D6^2)/$D$1+(E6^2)/$E$1+(F6^2)/$F$1</f>
        <v>0.29967317084861328</v>
      </c>
    </row>
    <row r="7" spans="1:9" x14ac:dyDescent="0.25">
      <c r="A7" s="4">
        <v>3</v>
      </c>
      <c r="B7" s="4">
        <v>-0.21933489977069318</v>
      </c>
      <c r="C7" s="4">
        <v>0.30132424421976672</v>
      </c>
      <c r="D7" s="4">
        <v>-0.4902058388662871</v>
      </c>
      <c r="E7" s="4">
        <v>0.42507537278949947</v>
      </c>
      <c r="F7" s="4">
        <v>9.2873807888662951E-2</v>
      </c>
      <c r="H7" s="2">
        <f>(B7^2)/$B$1+(C7^2)/$C$1+(D7^2)/$D$1+(E7^2)/$E$1+(F7^2)/$F$1</f>
        <v>0.34853768662753037</v>
      </c>
    </row>
    <row r="8" spans="1:9" x14ac:dyDescent="0.25">
      <c r="A8" s="4">
        <v>4</v>
      </c>
      <c r="B8" s="4">
        <v>-0.14136050154861712</v>
      </c>
      <c r="C8" s="4">
        <v>0.20996764152174674</v>
      </c>
      <c r="D8" s="4">
        <v>-0.55371320057820039</v>
      </c>
      <c r="E8" s="4">
        <v>0.36052528884315138</v>
      </c>
      <c r="F8" s="4">
        <v>8.6822264349252221E-2</v>
      </c>
      <c r="H8" s="2">
        <f>(B8^2)/$B$1+(C8^2)/$C$1+(D8^2)/$D$1+(E8^2)/$E$1+(F8^2)/$F$1</f>
        <v>0.32205514618240716</v>
      </c>
    </row>
    <row r="9" spans="1:9" x14ac:dyDescent="0.25">
      <c r="A9" s="4">
        <v>5</v>
      </c>
      <c r="B9" s="4">
        <v>-0.17244149280408733</v>
      </c>
      <c r="C9" s="4">
        <v>0.24988383062992575</v>
      </c>
      <c r="D9" s="4">
        <v>-0.53569743948174076</v>
      </c>
      <c r="E9" s="4">
        <v>0.39533554473552207</v>
      </c>
      <c r="F9" s="4">
        <v>9.7648501788670822E-2</v>
      </c>
      <c r="H9" s="2">
        <f>(B9^2)/$B$1+(C9^2)/$C$1+(D9^2)/$D$1+(E9^2)/$E$1+(F9^2)/$F$1</f>
        <v>0.34238602364484183</v>
      </c>
    </row>
    <row r="10" spans="1:9" x14ac:dyDescent="0.25">
      <c r="A10" s="4">
        <v>6</v>
      </c>
      <c r="B10" s="4">
        <v>-0.11128640380171456</v>
      </c>
      <c r="C10" s="4">
        <v>0.17486183238959851</v>
      </c>
      <c r="D10" s="4">
        <v>-0.5935807109739144</v>
      </c>
      <c r="E10" s="4">
        <v>0.33971142910812424</v>
      </c>
      <c r="F10" s="4">
        <v>9.7152693344476612E-2</v>
      </c>
      <c r="H10" s="2">
        <f>(B10^2)/$B$1+(C10^2)/$C$1+(D10^2)/$D$1+(E10^2)/$E$1+(F10^2)/$F$1</f>
        <v>0.33314461926558797</v>
      </c>
    </row>
    <row r="11" spans="1:9" x14ac:dyDescent="0.25">
      <c r="A11" s="4">
        <v>7</v>
      </c>
      <c r="B11" s="4">
        <v>-8.9183138042413207E-2</v>
      </c>
      <c r="C11" s="4">
        <v>0.14942619849222674</v>
      </c>
      <c r="D11" s="4">
        <v>-0.61145303362047243</v>
      </c>
      <c r="E11" s="4">
        <v>0.32691990321795839</v>
      </c>
      <c r="F11" s="4">
        <v>9.967399162741522E-2</v>
      </c>
      <c r="H11" s="2">
        <f>(B11^2)/$B$1+(C11^2)/$C$1+(D11^2)/$D$1+(E11^2)/$E$1+(F11^2)/$F$1</f>
        <v>0.33567142786015924</v>
      </c>
    </row>
    <row r="12" spans="1:9" x14ac:dyDescent="0.25">
      <c r="A12" s="4">
        <v>8</v>
      </c>
      <c r="B12" s="4">
        <v>-2.5369014734285156E-2</v>
      </c>
      <c r="C12" s="4">
        <v>7.054780213371166E-2</v>
      </c>
      <c r="D12" s="4">
        <v>-0.67155893010373424</v>
      </c>
      <c r="E12" s="4">
        <v>0.26818634720623419</v>
      </c>
      <c r="F12" s="4">
        <v>9.9223466315185763E-2</v>
      </c>
      <c r="H12" s="2">
        <f>(B12^2)/$B$1+(C12^2)/$C$1+(D12^2)/$D$1+(E12^2)/$E$1+(F12^2)/$F$1</f>
        <v>0.3474389461893721</v>
      </c>
    </row>
    <row r="13" spans="1:9" x14ac:dyDescent="0.25">
      <c r="A13" s="4">
        <v>9</v>
      </c>
      <c r="B13" s="4">
        <v>2.5539965292389749E-2</v>
      </c>
      <c r="C13" s="4">
        <v>9.342558363382665E-3</v>
      </c>
      <c r="D13" s="4">
        <v>-0.71298524041029032</v>
      </c>
      <c r="E13" s="4">
        <v>0.2270669456307409</v>
      </c>
      <c r="F13" s="4">
        <v>9.8341770740695417E-2</v>
      </c>
      <c r="H13" s="2">
        <f>(B13^2)/$B$1+(C13^2)/$C$1+(D13^2)/$D$1+(E13^2)/$E$1+(F13^2)/$F$1</f>
        <v>0.36540494183636946</v>
      </c>
    </row>
    <row r="14" spans="1:9" x14ac:dyDescent="0.25">
      <c r="A14" s="4">
        <v>10</v>
      </c>
      <c r="B14" s="4">
        <v>9.5426732102448397E-2</v>
      </c>
      <c r="C14" s="4">
        <v>-8.0367277917102312E-2</v>
      </c>
      <c r="D14" s="4">
        <v>-0.77846393769460021</v>
      </c>
      <c r="E14" s="4">
        <v>0.15992651470016789</v>
      </c>
      <c r="F14" s="4">
        <v>9.8274437340377538E-2</v>
      </c>
      <c r="H14" s="2">
        <f>(B14^2)/$B$1+(C14^2)/$C$1+(D14^2)/$D$1+(E14^2)/$E$1+(F14^2)/$F$1</f>
        <v>0.41169024022309991</v>
      </c>
    </row>
    <row r="15" spans="1:9" x14ac:dyDescent="0.25">
      <c r="A15" s="4">
        <v>11</v>
      </c>
      <c r="B15" s="4">
        <v>0.16189988971637861</v>
      </c>
      <c r="C15" s="4">
        <v>-0.16310207239383859</v>
      </c>
      <c r="D15" s="4">
        <v>-0.84079245916899259</v>
      </c>
      <c r="E15" s="4">
        <v>9.8083518304095896E-2</v>
      </c>
      <c r="F15" s="4">
        <v>9.7869195160097677E-2</v>
      </c>
      <c r="H15" s="2">
        <f>(B15^2)/$B$1+(C15^2)/$C$1+(D15^2)/$D$1+(E15^2)/$E$1+(F15^2)/$F$1</f>
        <v>0.47604397739962834</v>
      </c>
    </row>
    <row r="16" spans="1:9" x14ac:dyDescent="0.25">
      <c r="A16" s="4">
        <v>12</v>
      </c>
      <c r="B16" s="4">
        <v>0.24444197106655008</v>
      </c>
      <c r="C16" s="4">
        <v>-0.26633185315824248</v>
      </c>
      <c r="D16" s="4">
        <v>-0.90848022298102638</v>
      </c>
      <c r="E16" s="4">
        <v>2.3922995271231085E-2</v>
      </c>
      <c r="F16" s="4">
        <v>9.4035071884291693E-2</v>
      </c>
      <c r="H16" s="2">
        <f>(B16^2)/$B$1+(C16^2)/$C$1+(D16^2)/$D$1+(E16^2)/$E$1+(F16^2)/$F$1</f>
        <v>0.57117021982183069</v>
      </c>
    </row>
    <row r="17" spans="1:8" x14ac:dyDescent="0.25">
      <c r="A17" s="4">
        <v>13</v>
      </c>
      <c r="B17" s="4">
        <v>0.32443865260411403</v>
      </c>
      <c r="C17" s="4">
        <v>-0.36587128054746471</v>
      </c>
      <c r="D17" s="4">
        <v>-0.98192167333878078</v>
      </c>
      <c r="E17" s="4">
        <v>-5.1207655823807818E-2</v>
      </c>
      <c r="F17" s="4">
        <v>9.2097318839540976E-2</v>
      </c>
      <c r="H17" s="2">
        <f>(B17^2)/$B$1+(C17^2)/$C$1+(D17^2)/$D$1+(E17^2)/$E$1+(F17^2)/$F$1</f>
        <v>0.69932779027446867</v>
      </c>
    </row>
    <row r="18" spans="1:8" x14ac:dyDescent="0.25">
      <c r="A18" s="4">
        <v>14</v>
      </c>
      <c r="B18" s="4">
        <v>0.40902138761790696</v>
      </c>
      <c r="C18" s="4">
        <v>-0.47382597910579027</v>
      </c>
      <c r="D18" s="4">
        <v>-1.059398719435289</v>
      </c>
      <c r="E18" s="4">
        <v>-0.13280411897828429</v>
      </c>
      <c r="F18" s="4">
        <v>9.0272159822416376E-2</v>
      </c>
      <c r="H18" s="2">
        <f>(B18^2)/$B$1+(C18^2)/$C$1+(D18^2)/$D$1+(E18^2)/$E$1+(F18^2)/$F$1</f>
        <v>0.86626090839292447</v>
      </c>
    </row>
    <row r="19" spans="1:8" x14ac:dyDescent="0.25">
      <c r="A19" s="4">
        <v>15</v>
      </c>
      <c r="B19" s="4">
        <v>0.49626315693749867</v>
      </c>
      <c r="C19" s="4">
        <v>-0.58563707578232171</v>
      </c>
      <c r="D19" s="4">
        <v>-1.1390983905229202</v>
      </c>
      <c r="E19" s="4">
        <v>-0.217510022517098</v>
      </c>
      <c r="F19" s="4">
        <v>8.8492283937235378E-2</v>
      </c>
      <c r="H19" s="2">
        <f>(B19^2)/$B$1+(C19^2)/$C$1+(D19^2)/$D$1+(E19^2)/$E$1+(F19^2)/$F$1</f>
        <v>1.0719765101248564</v>
      </c>
    </row>
    <row r="20" spans="1:8" x14ac:dyDescent="0.25">
      <c r="A20" s="4">
        <v>16</v>
      </c>
      <c r="B20" s="4">
        <v>0.59074582463221004</v>
      </c>
      <c r="C20" s="4">
        <v>-0.70244081623062149</v>
      </c>
      <c r="D20" s="4">
        <v>-1.2243935794036918</v>
      </c>
      <c r="E20" s="4">
        <v>-0.30621162603166902</v>
      </c>
      <c r="F20" s="4">
        <v>8.4450805563926548E-2</v>
      </c>
      <c r="H20" s="2">
        <f>(B20^2)/$B$1+(C20^2)/$C$1+(D20^2)/$D$1+(E20^2)/$E$1+(F20^2)/$F$1</f>
        <v>1.3271497713421734</v>
      </c>
    </row>
    <row r="21" spans="1:8" x14ac:dyDescent="0.25">
      <c r="A21" s="4">
        <v>17</v>
      </c>
      <c r="B21" s="4">
        <v>0.68560682712378984</v>
      </c>
      <c r="C21" s="4">
        <v>-0.8226236349005408</v>
      </c>
      <c r="D21" s="4">
        <v>-1.3103182194280236</v>
      </c>
      <c r="E21" s="4">
        <v>-0.39740211473829762</v>
      </c>
      <c r="F21" s="4">
        <v>8.11605099265508E-2</v>
      </c>
      <c r="H21" s="2">
        <f>(B21^2)/$B$1+(C21^2)/$C$1+(D21^2)/$D$1+(E21^2)/$E$1+(F21^2)/$F$1</f>
        <v>1.6256700297900231</v>
      </c>
    </row>
    <row r="22" spans="1:8" x14ac:dyDescent="0.25">
      <c r="A22" s="4">
        <v>18</v>
      </c>
      <c r="B22" s="4">
        <v>0.78832920333616585</v>
      </c>
      <c r="C22" s="4">
        <v>-0.95057009042434837</v>
      </c>
      <c r="D22" s="4">
        <v>-1.3946030714204989</v>
      </c>
      <c r="E22" s="4">
        <v>-0.49105157991744169</v>
      </c>
      <c r="F22" s="4">
        <v>7.4854670498150436E-2</v>
      </c>
      <c r="H22" s="2">
        <f>(B22^2)/$B$1+(C22^2)/$C$1+(D22^2)/$D$1+(E22^2)/$E$1+(F22^2)/$F$1</f>
        <v>1.9721693853734761</v>
      </c>
    </row>
    <row r="23" spans="1:8" x14ac:dyDescent="0.25">
      <c r="A23" s="4">
        <v>19</v>
      </c>
      <c r="B23" s="4">
        <v>0.88888451453277484</v>
      </c>
      <c r="C23" s="4">
        <v>-1.0782052707945926</v>
      </c>
      <c r="D23" s="4">
        <v>-1.4852710611022917</v>
      </c>
      <c r="E23" s="4">
        <v>-0.58816005835084173</v>
      </c>
      <c r="F23" s="4">
        <v>7.1196384036761359E-2</v>
      </c>
      <c r="H23" s="2">
        <f>(B23^2)/$B$1+(C23^2)/$C$1+(D23^2)/$D$1+(E23^2)/$E$1+(F23^2)/$F$1</f>
        <v>2.3751735388441051</v>
      </c>
    </row>
    <row r="24" spans="1:8" x14ac:dyDescent="0.25">
      <c r="A24" s="4">
        <v>20</v>
      </c>
      <c r="B24" s="4">
        <v>0.98716650231123659</v>
      </c>
      <c r="C24" s="4">
        <v>-1.2018942730847768</v>
      </c>
      <c r="D24" s="4">
        <v>-1.5816836621608164</v>
      </c>
      <c r="E24" s="4">
        <v>-0.68605016827440646</v>
      </c>
      <c r="F24" s="4">
        <v>6.8825897793621499E-2</v>
      </c>
      <c r="H24" s="2">
        <f>(B24^2)/$B$1+(C24^2)/$C$1+(D24^2)/$D$1+(E24^2)/$E$1+(F24^2)/$F$1</f>
        <v>2.8295922468226378</v>
      </c>
    </row>
    <row r="25" spans="1:8" x14ac:dyDescent="0.25">
      <c r="A25" s="4">
        <v>21</v>
      </c>
      <c r="B25" s="4">
        <v>1.0923057722806435</v>
      </c>
      <c r="C25" s="4">
        <v>-1.3343052118663616</v>
      </c>
      <c r="D25" s="4">
        <v>-1.6760558961130114</v>
      </c>
      <c r="E25" s="4">
        <v>-0.78683468253324096</v>
      </c>
      <c r="F25" s="4">
        <v>6.4070465536000334E-2</v>
      </c>
      <c r="H25" s="2">
        <f>(B25^2)/$B$1+(C25^2)/$C$1+(D25^2)/$D$1+(E25^2)/$E$1+(F25^2)/$F$1</f>
        <v>3.3423005943280613</v>
      </c>
    </row>
    <row r="26" spans="1:8" x14ac:dyDescent="0.25">
      <c r="A26" s="4">
        <v>22</v>
      </c>
      <c r="B26" s="4">
        <v>1.1970688021565836</v>
      </c>
      <c r="C26" s="4">
        <v>-1.4669765851840271</v>
      </c>
      <c r="D26" s="4">
        <v>-1.7701300303899683</v>
      </c>
      <c r="E26" s="4">
        <v>-0.88792008783397447</v>
      </c>
      <c r="F26" s="4">
        <v>5.9773590366300193E-2</v>
      </c>
      <c r="H26" s="2">
        <f>(B26^2)/$B$1+(C26^2)/$C$1+(D26^2)/$D$1+(E26^2)/$E$1+(F26^2)/$F$1</f>
        <v>3.9031183873389916</v>
      </c>
    </row>
    <row r="27" spans="1:8" x14ac:dyDescent="0.25">
      <c r="A27" s="4">
        <v>23</v>
      </c>
      <c r="B27" s="4">
        <v>1.3069999182419385</v>
      </c>
      <c r="C27" s="4">
        <v>-1.6015043188379396</v>
      </c>
      <c r="D27" s="4">
        <v>-1.8680197674333896</v>
      </c>
      <c r="E27" s="4">
        <v>-0.99047594148860096</v>
      </c>
      <c r="F27" s="4">
        <v>5.3057172200331744E-2</v>
      </c>
      <c r="H27" s="2">
        <f>(B27^2)/$B$1+(C27^2)/$C$1+(D27^2)/$D$1+(E27^2)/$E$1+(F27^2)/$F$1</f>
        <v>4.5290902341661283</v>
      </c>
    </row>
    <row r="28" spans="1:8" x14ac:dyDescent="0.25">
      <c r="A28" s="4">
        <v>24</v>
      </c>
      <c r="B28" s="4">
        <v>1.4159706667972476</v>
      </c>
      <c r="C28" s="4">
        <v>-1.7392118851030645</v>
      </c>
      <c r="D28" s="4">
        <v>-1.9655000463055408</v>
      </c>
      <c r="E28" s="4">
        <v>-1.0955382736566959</v>
      </c>
      <c r="F28" s="4">
        <v>4.8121708322306708E-2</v>
      </c>
      <c r="H28" s="2">
        <f>(B28^2)/$B$1+(C28^2)/$C$1+(D28^2)/$D$1+(E28^2)/$E$1+(F28^2)/$F$1</f>
        <v>5.2134350131250748</v>
      </c>
    </row>
    <row r="29" spans="1:8" x14ac:dyDescent="0.25">
      <c r="A29" s="4">
        <v>25</v>
      </c>
      <c r="B29" s="4">
        <v>1.5270742271627054</v>
      </c>
      <c r="C29" s="4">
        <v>-1.8751798481223114</v>
      </c>
      <c r="D29" s="4">
        <v>-2.064275203277794</v>
      </c>
      <c r="E29" s="4">
        <v>-1.1992625048362446</v>
      </c>
      <c r="F29" s="4">
        <v>4.1179975403990939E-2</v>
      </c>
      <c r="H29" s="2">
        <f>(B29^2)/$B$1+(C29^2)/$C$1+(D29^2)/$D$1+(E29^2)/$E$1+(F29^2)/$F$1</f>
        <v>5.9491178462788712</v>
      </c>
    </row>
    <row r="30" spans="1:8" x14ac:dyDescent="0.25">
      <c r="A30" s="4">
        <v>26</v>
      </c>
      <c r="B30" s="4">
        <v>1.6386602860240396</v>
      </c>
      <c r="C30" s="4">
        <v>-2.0145222795319855</v>
      </c>
      <c r="D30" s="4">
        <v>-2.1639869862378949</v>
      </c>
      <c r="E30" s="4">
        <v>-1.3053632267379982</v>
      </c>
      <c r="F30" s="4">
        <v>3.5139438146514754E-2</v>
      </c>
      <c r="H30" s="2">
        <f>(B30^2)/$B$1+(C30^2)/$C$1+(D30^2)/$D$1+(E30^2)/$E$1+(F30^2)/$F$1</f>
        <v>6.7504605020672006</v>
      </c>
    </row>
    <row r="31" spans="1:8" x14ac:dyDescent="0.25">
      <c r="A31" s="4">
        <v>27</v>
      </c>
      <c r="B31" s="4">
        <v>1.7527991207887412</v>
      </c>
      <c r="C31" s="4">
        <v>-2.1540862061333415</v>
      </c>
      <c r="D31" s="4">
        <v>-2.2652828678764934</v>
      </c>
      <c r="E31" s="4">
        <v>-1.411896007259974</v>
      </c>
      <c r="F31" s="4">
        <v>2.7784431272231069E-2</v>
      </c>
      <c r="H31" s="2">
        <f>(B31^2)/$B$1+(C31^2)/$C$1+(D31^2)/$D$1+(E31^2)/$E$1+(F31^2)/$F$1</f>
        <v>7.6133824407945516</v>
      </c>
    </row>
    <row r="32" spans="1:8" x14ac:dyDescent="0.25">
      <c r="A32" s="4">
        <v>28</v>
      </c>
      <c r="B32" s="4">
        <v>1.8617356161385032</v>
      </c>
      <c r="C32" s="4">
        <v>-2.2897428939990769</v>
      </c>
      <c r="D32" s="4">
        <v>-2.3704411625380635</v>
      </c>
      <c r="E32" s="4">
        <v>-1.5190792516937948</v>
      </c>
      <c r="F32" s="4">
        <v>2.3490251320897704E-2</v>
      </c>
      <c r="H32" s="2">
        <f>(B32^2)/$B$1+(C32^2)/$C$1+(D32^2)/$D$1+(E32^2)/$E$1+(F32^2)/$F$1</f>
        <v>8.5308316789730494</v>
      </c>
    </row>
    <row r="33" spans="1:8" x14ac:dyDescent="0.25">
      <c r="A33" s="4">
        <v>29</v>
      </c>
      <c r="B33" s="4">
        <v>1.9750803414199896</v>
      </c>
      <c r="C33" s="4">
        <v>-2.4312456694567537</v>
      </c>
      <c r="D33" s="4">
        <v>-2.4714810753914085</v>
      </c>
      <c r="E33" s="4">
        <v>-1.6269325398829326</v>
      </c>
      <c r="F33" s="4">
        <v>1.7111741934897364E-2</v>
      </c>
      <c r="H33" s="2">
        <f>(B33^2)/$B$1+(C33^2)/$C$1+(D33^2)/$D$1+(E33^2)/$E$1+(F33^2)/$F$1</f>
        <v>9.5085935999522064</v>
      </c>
    </row>
    <row r="34" spans="1:8" x14ac:dyDescent="0.25">
      <c r="A34" s="4">
        <v>30</v>
      </c>
      <c r="B34" s="4">
        <v>2.092044468537321</v>
      </c>
      <c r="C34" s="4">
        <v>-2.5734250104214089</v>
      </c>
      <c r="D34" s="4">
        <v>-2.5751530714071498</v>
      </c>
      <c r="E34" s="4">
        <v>-1.735388789942927</v>
      </c>
      <c r="F34" s="4">
        <v>8.9975613928954118E-3</v>
      </c>
      <c r="H34" s="2">
        <f t="shared" ref="H34:H54" si="0">(B34^2)/$B$1+(C34^2)/$C$1+(D34^2)/$D$1+(E34^2)/$E$1+(F34^2)/$F$1</f>
        <v>10.556966095265221</v>
      </c>
    </row>
    <row r="35" spans="1:8" x14ac:dyDescent="0.25">
      <c r="A35" s="4">
        <v>31</v>
      </c>
      <c r="B35" s="4">
        <v>2.2081082277690496</v>
      </c>
      <c r="C35" s="4">
        <v>-2.7139082973159105</v>
      </c>
      <c r="D35" s="4">
        <v>-2.6779305723250473</v>
      </c>
      <c r="E35" s="4">
        <v>-1.8424881659060088</v>
      </c>
      <c r="F35" s="4">
        <v>5.0012559042078575E-4</v>
      </c>
      <c r="H35" s="2">
        <f t="shared" si="0"/>
        <v>11.650089903010432</v>
      </c>
    </row>
    <row r="36" spans="1:8" x14ac:dyDescent="0.25">
      <c r="A36" s="4">
        <v>32</v>
      </c>
      <c r="B36" s="4">
        <v>2.3256585770264335</v>
      </c>
      <c r="C36" s="4">
        <v>-2.8568077529632481</v>
      </c>
      <c r="D36" s="4">
        <v>-2.7820452783052065</v>
      </c>
      <c r="E36" s="4">
        <v>-1.9515286047284757</v>
      </c>
      <c r="F36" s="4">
        <v>-7.7267123277509446E-3</v>
      </c>
      <c r="H36" s="2">
        <f t="shared" si="0"/>
        <v>12.817218620408756</v>
      </c>
    </row>
    <row r="37" spans="1:8" x14ac:dyDescent="0.25">
      <c r="A37" s="4">
        <v>33</v>
      </c>
      <c r="B37" s="4">
        <v>2.4389690491024067</v>
      </c>
      <c r="C37" s="4">
        <v>-2.9962596500215617</v>
      </c>
      <c r="D37" s="4">
        <v>-2.8907632069479985</v>
      </c>
      <c r="E37" s="4">
        <v>-2.0615028051833595</v>
      </c>
      <c r="F37" s="4">
        <v>-1.3463937787067854E-2</v>
      </c>
      <c r="H37" s="2">
        <f t="shared" si="0"/>
        <v>14.046527345825218</v>
      </c>
    </row>
    <row r="38" spans="1:8" x14ac:dyDescent="0.25">
      <c r="A38" s="4">
        <v>34</v>
      </c>
      <c r="B38" s="4">
        <v>2.5568956384532475</v>
      </c>
      <c r="C38" s="4">
        <v>-3.1388986711327931</v>
      </c>
      <c r="D38" s="4">
        <v>-2.9951760126033866</v>
      </c>
      <c r="E38" s="4">
        <v>-2.1702423529639083</v>
      </c>
      <c r="F38" s="4">
        <v>-2.2149332793163005E-2</v>
      </c>
      <c r="H38" s="2">
        <f t="shared" si="0"/>
        <v>15.328198541991508</v>
      </c>
    </row>
    <row r="39" spans="1:8" x14ac:dyDescent="0.25">
      <c r="A39" s="4">
        <v>35</v>
      </c>
      <c r="B39" s="4">
        <v>2.6759946720841827</v>
      </c>
      <c r="C39" s="4">
        <v>-3.2829779216093478</v>
      </c>
      <c r="D39" s="4">
        <v>-3.1004742381875969</v>
      </c>
      <c r="E39" s="4">
        <v>-2.2801502782693728</v>
      </c>
      <c r="F39" s="4">
        <v>-3.1060042551605094E-2</v>
      </c>
      <c r="H39" s="2">
        <f t="shared" si="0"/>
        <v>16.680553093483951</v>
      </c>
    </row>
    <row r="40" spans="1:8" x14ac:dyDescent="0.25">
      <c r="A40" s="4">
        <v>36</v>
      </c>
      <c r="B40" s="4">
        <v>2.7948837236685504</v>
      </c>
      <c r="C40" s="4">
        <v>-3.4260766228671735</v>
      </c>
      <c r="D40" s="4">
        <v>-3.2056278534826457</v>
      </c>
      <c r="E40" s="4">
        <v>-2.389173123770493</v>
      </c>
      <c r="F40" s="4">
        <v>-4.0316652021795657E-2</v>
      </c>
      <c r="H40" s="2">
        <f t="shared" si="0"/>
        <v>18.084199459936542</v>
      </c>
    </row>
    <row r="41" spans="1:8" x14ac:dyDescent="0.25">
      <c r="A41" s="4">
        <v>37</v>
      </c>
      <c r="B41" s="4">
        <v>2.913772775252903</v>
      </c>
      <c r="C41" s="4">
        <v>-3.5691753241249806</v>
      </c>
      <c r="D41" s="4">
        <v>-3.3107814687776824</v>
      </c>
      <c r="E41" s="4">
        <v>-2.4981959692715971</v>
      </c>
      <c r="F41" s="4">
        <v>-4.9573261491983052E-2</v>
      </c>
      <c r="H41" s="2">
        <f t="shared" si="0"/>
        <v>19.545683049103101</v>
      </c>
    </row>
    <row r="42" spans="1:8" x14ac:dyDescent="0.25">
      <c r="A42" s="4">
        <v>38</v>
      </c>
      <c r="B42" s="4">
        <v>3.0280457095623379</v>
      </c>
      <c r="C42" s="4">
        <v>-3.7090869013298167</v>
      </c>
      <c r="D42" s="4">
        <v>-3.4202402070601403</v>
      </c>
      <c r="E42" s="4">
        <v>-2.6084534674470192</v>
      </c>
      <c r="F42" s="4">
        <v>-5.5881701415373734E-2</v>
      </c>
      <c r="H42" s="2">
        <f t="shared" si="0"/>
        <v>21.070193274357734</v>
      </c>
    </row>
    <row r="43" spans="1:8" x14ac:dyDescent="0.25">
      <c r="A43" s="4">
        <v>39</v>
      </c>
      <c r="B43" s="4">
        <v>3.1492775550034811</v>
      </c>
      <c r="C43" s="4">
        <v>-3.8514265485605512</v>
      </c>
      <c r="D43" s="4">
        <v>-3.5268333107445033</v>
      </c>
      <c r="E43" s="4">
        <v>-2.7170232917639812</v>
      </c>
      <c r="F43" s="4">
        <v>-6.6798680214118389E-2</v>
      </c>
      <c r="H43" s="2">
        <f t="shared" si="0"/>
        <v>22.652984475836789</v>
      </c>
    </row>
    <row r="44" spans="1:8" x14ac:dyDescent="0.25">
      <c r="A44" s="4">
        <v>40</v>
      </c>
      <c r="B44" s="4">
        <v>3.2706156588470066</v>
      </c>
      <c r="C44" s="4">
        <v>-3.9974010987177784</v>
      </c>
      <c r="D44" s="4">
        <v>-3.6340649407414514</v>
      </c>
      <c r="E44" s="4">
        <v>-2.8282704978450353</v>
      </c>
      <c r="F44" s="4">
        <v>-7.6355906264098855E-2</v>
      </c>
      <c r="H44" s="2">
        <f t="shared" si="0"/>
        <v>24.321739480992012</v>
      </c>
    </row>
    <row r="45" spans="1:8" x14ac:dyDescent="0.25">
      <c r="A45" s="4">
        <v>41</v>
      </c>
      <c r="B45" s="4">
        <v>3.3904671726648745</v>
      </c>
      <c r="C45" s="4">
        <v>-4.1409594801221559</v>
      </c>
      <c r="D45" s="4">
        <v>-3.739959365676139</v>
      </c>
      <c r="E45" s="4">
        <v>-2.9375766410666899</v>
      </c>
      <c r="F45" s="4">
        <v>-8.6183730198384989E-2</v>
      </c>
      <c r="H45" s="2">
        <f t="shared" si="0"/>
        <v>26.024121090933118</v>
      </c>
    </row>
    <row r="46" spans="1:8" x14ac:dyDescent="0.25">
      <c r="A46" s="4">
        <v>42</v>
      </c>
      <c r="B46" s="4">
        <v>3.5120752581994679</v>
      </c>
      <c r="C46" s="4">
        <v>-4.2830386928167883</v>
      </c>
      <c r="D46" s="4">
        <v>-3.8468505690357273</v>
      </c>
      <c r="E46" s="4">
        <v>-3.0458455743417372</v>
      </c>
      <c r="F46" s="4">
        <v>-9.7559266085046559E-2</v>
      </c>
      <c r="H46" s="2">
        <f t="shared" si="0"/>
        <v>27.782336869777108</v>
      </c>
    </row>
    <row r="47" spans="1:8" x14ac:dyDescent="0.25">
      <c r="A47" s="4">
        <v>43</v>
      </c>
      <c r="B47" s="4">
        <v>3.6337896021364386</v>
      </c>
      <c r="C47" s="4">
        <v>-4.4287528084378831</v>
      </c>
      <c r="D47" s="4">
        <v>-3.9543802987078953</v>
      </c>
      <c r="E47" s="4">
        <v>-3.1567918893808518</v>
      </c>
      <c r="F47" s="4">
        <v>-0.1075750492229528</v>
      </c>
      <c r="H47" s="2">
        <f t="shared" si="0"/>
        <v>29.629471484184933</v>
      </c>
    </row>
    <row r="48" spans="1:8" x14ac:dyDescent="0.25">
      <c r="A48" s="4">
        <v>44</v>
      </c>
      <c r="B48" s="4">
        <v>3.7507815703961525</v>
      </c>
      <c r="C48" s="4">
        <v>-4.5676448970795738</v>
      </c>
      <c r="D48" s="4">
        <v>-4.065576625054879</v>
      </c>
      <c r="E48" s="4">
        <v>-3.2662954753302134</v>
      </c>
      <c r="F48" s="4">
        <v>-0.11600241556284041</v>
      </c>
      <c r="H48" s="2">
        <f t="shared" si="0"/>
        <v>31.510444259621039</v>
      </c>
    </row>
    <row r="49" spans="1:8" x14ac:dyDescent="0.25">
      <c r="A49" s="4">
        <v>45</v>
      </c>
      <c r="B49" s="4">
        <v>3.8742524860498695</v>
      </c>
      <c r="C49" s="4">
        <v>-4.7118798439909595</v>
      </c>
      <c r="D49" s="4">
        <v>-4.1741031331519673</v>
      </c>
      <c r="E49" s="4">
        <v>-3.3762045804227481</v>
      </c>
      <c r="F49" s="4">
        <v>-0.12756591065311923</v>
      </c>
      <c r="H49" s="2">
        <f t="shared" si="0"/>
        <v>33.474087983640658</v>
      </c>
    </row>
    <row r="50" spans="1:8" x14ac:dyDescent="0.25">
      <c r="A50" s="4">
        <v>46</v>
      </c>
      <c r="B50" s="4">
        <v>3.9950664621012275</v>
      </c>
      <c r="C50" s="4">
        <v>-4.8558979055418776</v>
      </c>
      <c r="D50" s="4">
        <v>-4.2807383677262827</v>
      </c>
      <c r="E50" s="4">
        <v>-3.4857940213649306</v>
      </c>
      <c r="F50" s="4">
        <v>-0.13796494905150139</v>
      </c>
      <c r="H50" s="2">
        <f t="shared" si="0"/>
        <v>35.479405923062082</v>
      </c>
    </row>
    <row r="51" spans="1:8" x14ac:dyDescent="0.25">
      <c r="A51" s="4">
        <v>47</v>
      </c>
      <c r="B51" s="4">
        <v>4.1189136178484018</v>
      </c>
      <c r="C51" s="4">
        <v>-4.9998724179171568</v>
      </c>
      <c r="D51" s="4">
        <v>-4.3895629754985999</v>
      </c>
      <c r="E51" s="4">
        <v>-3.5954022354155466</v>
      </c>
      <c r="F51" s="4">
        <v>-0.14998700122970374</v>
      </c>
      <c r="H51" s="2">
        <f t="shared" si="0"/>
        <v>37.562130760832254</v>
      </c>
    </row>
    <row r="52" spans="1:8" x14ac:dyDescent="0.25">
      <c r="A52" s="4">
        <v>48</v>
      </c>
      <c r="B52" s="4">
        <v>4.2414841656165114</v>
      </c>
      <c r="C52" s="4">
        <v>-5.1424113107583587</v>
      </c>
      <c r="D52" s="4">
        <v>-4.4971949884978395</v>
      </c>
      <c r="E52" s="4">
        <v>-3.7039544664111439</v>
      </c>
      <c r="F52" s="4">
        <v>-0.16193375158046405</v>
      </c>
      <c r="H52" s="2">
        <f t="shared" si="0"/>
        <v>39.68266491928852</v>
      </c>
    </row>
    <row r="53" spans="1:8" x14ac:dyDescent="0.25">
      <c r="A53" s="4">
        <v>49</v>
      </c>
      <c r="B53" s="4">
        <v>4.3635747496469621</v>
      </c>
      <c r="C53" s="4">
        <v>-5.2878649918433904</v>
      </c>
      <c r="D53" s="4">
        <v>-4.6050228178452572</v>
      </c>
      <c r="E53" s="4">
        <v>-3.8145998904083722</v>
      </c>
      <c r="F53" s="4">
        <v>-0.17240809180629268</v>
      </c>
      <c r="H53" s="2">
        <f t="shared" si="0"/>
        <v>41.887894359378343</v>
      </c>
    </row>
    <row r="54" spans="1:8" x14ac:dyDescent="0.25">
      <c r="A54" s="4">
        <v>50</v>
      </c>
      <c r="B54" s="4">
        <v>4.4880081275341697</v>
      </c>
      <c r="C54" s="4">
        <v>-5.4325596189013172</v>
      </c>
      <c r="D54" s="4">
        <v>-4.7142901355819742</v>
      </c>
      <c r="E54" s="4">
        <v>-3.9247922932214356</v>
      </c>
      <c r="F54" s="4">
        <v>-0.1845428013606677</v>
      </c>
      <c r="H54" s="2">
        <f t="shared" si="0"/>
        <v>44.160951307545865</v>
      </c>
    </row>
  </sheetData>
  <mergeCells count="1">
    <mergeCell ref="B3:F3"/>
  </mergeCells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A0784-FE33-4003-A3E6-AE70CEE3FE72}">
  <sheetPr>
    <tabColor theme="9" tint="0.39997558519241921"/>
  </sheetPr>
  <dimension ref="A2:P105"/>
  <sheetViews>
    <sheetView topLeftCell="A54" workbookViewId="0">
      <selection activeCell="O105" sqref="O56:O105"/>
    </sheetView>
  </sheetViews>
  <sheetFormatPr defaultRowHeight="15" x14ac:dyDescent="0.25"/>
  <cols>
    <col min="15" max="15" width="12.5703125" customWidth="1"/>
  </cols>
  <sheetData>
    <row r="2" spans="1:13" s="22" customFormat="1" ht="26.25" x14ac:dyDescent="0.4">
      <c r="A2" s="25" t="s">
        <v>43</v>
      </c>
    </row>
    <row r="3" spans="1:13" x14ac:dyDescent="0.25">
      <c r="A3" s="21" cm="1">
        <f t="array" ref="A3:M52">MMULT(_xlfn.ANCHORARRAY('Step 6 - P=X̆V'!A1),Archive_Eiegenvectors!A18:M22)</f>
        <v>0.23447805678947298</v>
      </c>
      <c r="B3" s="21">
        <v>-0.18488342323975845</v>
      </c>
      <c r="C3" s="21">
        <v>0.34859644228762776</v>
      </c>
      <c r="D3" s="21">
        <v>-0.10374151062367873</v>
      </c>
      <c r="E3" s="21">
        <v>5.5383141675048667E-2</v>
      </c>
      <c r="F3" s="21">
        <v>0.10631058246114285</v>
      </c>
      <c r="G3" s="21">
        <v>0.20873510961752964</v>
      </c>
      <c r="H3" s="21">
        <v>0.26289846416218976</v>
      </c>
      <c r="I3" s="21">
        <v>-0.17005566089031932</v>
      </c>
      <c r="J3" s="21">
        <v>-0.22438786973447483</v>
      </c>
      <c r="K3" s="21">
        <v>-0.11147906250676906</v>
      </c>
      <c r="L3" s="21">
        <v>1.7462972170167575E-2</v>
      </c>
      <c r="M3" s="21">
        <v>0.17196950767906843</v>
      </c>
    </row>
    <row r="4" spans="1:13" x14ac:dyDescent="0.25">
      <c r="A4" s="21">
        <v>0.23447805678947298</v>
      </c>
      <c r="B4" s="21">
        <v>-0.18488342323975845</v>
      </c>
      <c r="C4" s="21">
        <v>0.34859644228762776</v>
      </c>
      <c r="D4" s="21">
        <v>-0.10374151062367873</v>
      </c>
      <c r="E4" s="21">
        <v>5.5383141675048667E-2</v>
      </c>
      <c r="F4" s="21">
        <v>0.10631058246114285</v>
      </c>
      <c r="G4" s="21">
        <v>0.20873510961752964</v>
      </c>
      <c r="H4" s="21">
        <v>0.26289846416218976</v>
      </c>
      <c r="I4" s="21">
        <v>-0.17005566089031932</v>
      </c>
      <c r="J4" s="21">
        <v>-0.22438786973447483</v>
      </c>
      <c r="K4" s="21">
        <v>-0.11147906250676906</v>
      </c>
      <c r="L4" s="21">
        <v>1.7462972170167575E-2</v>
      </c>
      <c r="M4" s="21">
        <v>0.17196950767906843</v>
      </c>
    </row>
    <row r="5" spans="1:13" x14ac:dyDescent="0.25">
      <c r="A5" s="21">
        <v>0.29134957435655323</v>
      </c>
      <c r="B5" s="21">
        <v>-0.21232299618407202</v>
      </c>
      <c r="C5" s="21">
        <v>0.3818597876758148</v>
      </c>
      <c r="D5" s="21">
        <v>-0.10863821024854785</v>
      </c>
      <c r="E5" s="21">
        <v>0.20450035270120551</v>
      </c>
      <c r="F5" s="21">
        <v>0.11698247996433221</v>
      </c>
      <c r="G5" s="21">
        <v>0.20149193078607833</v>
      </c>
      <c r="H5" s="21">
        <v>0.239644121529417</v>
      </c>
      <c r="I5" s="21">
        <v>-9.3811259909994116E-2</v>
      </c>
      <c r="J5" s="21">
        <v>-0.2130763165959175</v>
      </c>
      <c r="K5" s="21">
        <v>-0.1241664289690972</v>
      </c>
      <c r="L5" s="21">
        <v>0.16687265114297936</v>
      </c>
      <c r="M5" s="21">
        <v>0.17302092725134302</v>
      </c>
    </row>
    <row r="6" spans="1:13" x14ac:dyDescent="0.25">
      <c r="A6" s="21">
        <v>0.25725081316502452</v>
      </c>
      <c r="B6" s="21">
        <v>-0.19416102791761797</v>
      </c>
      <c r="C6" s="21">
        <v>0.37015289731698314</v>
      </c>
      <c r="D6" s="21">
        <v>-0.11393748838371096</v>
      </c>
      <c r="E6" s="21">
        <v>0.11051999467921564</v>
      </c>
      <c r="F6" s="21">
        <v>0.10835375776835879</v>
      </c>
      <c r="G6" s="21">
        <v>0.2084287542123229</v>
      </c>
      <c r="H6" s="21">
        <v>0.25982681383057427</v>
      </c>
      <c r="I6" s="21">
        <v>-0.14270398282584729</v>
      </c>
      <c r="J6" s="21">
        <v>-0.22427500619477778</v>
      </c>
      <c r="K6" s="21">
        <v>-0.11448499639359011</v>
      </c>
      <c r="L6" s="21">
        <v>7.1843224546233736E-2</v>
      </c>
      <c r="M6" s="21">
        <v>0.17456518074585195</v>
      </c>
    </row>
    <row r="7" spans="1:13" x14ac:dyDescent="0.25">
      <c r="A7" s="21">
        <v>0.2751041557239487</v>
      </c>
      <c r="B7" s="21">
        <v>-0.20260815063532941</v>
      </c>
      <c r="C7" s="21">
        <v>0.38335575277386624</v>
      </c>
      <c r="D7" s="21">
        <v>-0.1189942438488662</v>
      </c>
      <c r="E7" s="21">
        <v>0.15090727221971267</v>
      </c>
      <c r="F7" s="21">
        <v>0.11065564511743664</v>
      </c>
      <c r="G7" s="21">
        <v>0.20740160074227432</v>
      </c>
      <c r="H7" s="21">
        <v>0.25688306838092601</v>
      </c>
      <c r="I7" s="21">
        <v>-0.12349093223928316</v>
      </c>
      <c r="J7" s="21">
        <v>-0.2250652344640004</v>
      </c>
      <c r="K7" s="21">
        <v>-0.11749415676009092</v>
      </c>
      <c r="L7" s="21">
        <v>0.11179919637874552</v>
      </c>
      <c r="M7" s="21">
        <v>0.17575899859404071</v>
      </c>
    </row>
    <row r="8" spans="1:13" x14ac:dyDescent="0.25">
      <c r="A8" s="21">
        <v>0.25072725067952961</v>
      </c>
      <c r="B8" s="21">
        <v>-0.18979838649582509</v>
      </c>
      <c r="C8" s="21">
        <v>0.37418586179455338</v>
      </c>
      <c r="D8" s="21">
        <v>-0.12468950363323508</v>
      </c>
      <c r="E8" s="21">
        <v>7.2741031160730135E-2</v>
      </c>
      <c r="F8" s="21">
        <v>0.10418793343381239</v>
      </c>
      <c r="G8" s="21">
        <v>0.21113752052755058</v>
      </c>
      <c r="H8" s="21">
        <v>0.27597494491703284</v>
      </c>
      <c r="I8" s="21">
        <v>-0.16678017188623004</v>
      </c>
      <c r="J8" s="21">
        <v>-0.23888206382159288</v>
      </c>
      <c r="K8" s="21">
        <v>-0.11034956313694907</v>
      </c>
      <c r="L8" s="21">
        <v>3.2479085932172851E-2</v>
      </c>
      <c r="M8" s="21">
        <v>0.17519127562261641</v>
      </c>
    </row>
    <row r="9" spans="1:13" x14ac:dyDescent="0.25">
      <c r="A9" s="21">
        <v>0.2417991446284351</v>
      </c>
      <c r="B9" s="21">
        <v>-0.1835083016170363</v>
      </c>
      <c r="C9" s="21">
        <v>0.3749514896948769</v>
      </c>
      <c r="D9" s="21">
        <v>-0.13026585913724614</v>
      </c>
      <c r="E9" s="21">
        <v>4.8256606511927411E-2</v>
      </c>
      <c r="F9" s="21">
        <v>0.10091983960098791</v>
      </c>
      <c r="G9" s="21">
        <v>0.21292256623407402</v>
      </c>
      <c r="H9" s="21">
        <v>0.28311841992021797</v>
      </c>
      <c r="I9" s="21">
        <v>-0.17932992045526808</v>
      </c>
      <c r="J9" s="21">
        <v>-0.24247954108119382</v>
      </c>
      <c r="K9" s="21">
        <v>-0.10689862523662269</v>
      </c>
      <c r="L9" s="21">
        <v>7.4372237697530562E-3</v>
      </c>
      <c r="M9" s="21">
        <v>0.17556900232024153</v>
      </c>
    </row>
    <row r="10" spans="1:13" x14ac:dyDescent="0.25">
      <c r="A10" s="21">
        <v>0.21616866900695925</v>
      </c>
      <c r="B10" s="21">
        <v>-0.16993324506180832</v>
      </c>
      <c r="C10" s="21">
        <v>0.36494994556871502</v>
      </c>
      <c r="D10" s="21">
        <v>-0.13612596022792228</v>
      </c>
      <c r="E10" s="21">
        <v>-3.3674681602735179E-2</v>
      </c>
      <c r="F10" s="21">
        <v>9.4165965998827122E-2</v>
      </c>
      <c r="G10" s="21">
        <v>0.21639469226020352</v>
      </c>
      <c r="H10" s="21">
        <v>0.30289444566452339</v>
      </c>
      <c r="I10" s="21">
        <v>-0.22464034437296326</v>
      </c>
      <c r="J10" s="21">
        <v>-0.25677481957590137</v>
      </c>
      <c r="K10" s="21">
        <v>-9.9436512236523278E-2</v>
      </c>
      <c r="L10" s="21">
        <v>-7.5661820246052572E-2</v>
      </c>
      <c r="M10" s="21">
        <v>0.17456919330920723</v>
      </c>
    </row>
    <row r="11" spans="1:13" x14ac:dyDescent="0.25">
      <c r="A11" s="21">
        <v>0.19407789848963236</v>
      </c>
      <c r="B11" s="21">
        <v>-0.15701349003042223</v>
      </c>
      <c r="C11" s="21">
        <v>0.35862662148987628</v>
      </c>
      <c r="D11" s="21">
        <v>-0.14192564063851559</v>
      </c>
      <c r="E11" s="21">
        <v>-9.5119231418460876E-2</v>
      </c>
      <c r="F11" s="21">
        <v>8.8067933318570629E-2</v>
      </c>
      <c r="G11" s="21">
        <v>0.21958021115583015</v>
      </c>
      <c r="H11" s="21">
        <v>0.31685769477099168</v>
      </c>
      <c r="I11" s="21">
        <v>-0.25661972872797234</v>
      </c>
      <c r="J11" s="21">
        <v>-0.26450753229833779</v>
      </c>
      <c r="K11" s="21">
        <v>-9.2728508627914472E-2</v>
      </c>
      <c r="L11" s="21">
        <v>-0.13788498833481255</v>
      </c>
      <c r="M11" s="21">
        <v>0.17434436332971975</v>
      </c>
    </row>
    <row r="12" spans="1:13" x14ac:dyDescent="0.25">
      <c r="A12" s="21">
        <v>0.16523535027295064</v>
      </c>
      <c r="B12" s="21">
        <v>-0.1411739968445718</v>
      </c>
      <c r="C12" s="21">
        <v>0.34631282085881249</v>
      </c>
      <c r="D12" s="21">
        <v>-0.14826419020811971</v>
      </c>
      <c r="E12" s="21">
        <v>-0.18687410464699661</v>
      </c>
      <c r="F12" s="21">
        <v>8.0914470837813987E-2</v>
      </c>
      <c r="G12" s="21">
        <v>0.22159938507588547</v>
      </c>
      <c r="H12" s="21">
        <v>0.33835874531793797</v>
      </c>
      <c r="I12" s="21">
        <v>-0.30740109248544506</v>
      </c>
      <c r="J12" s="21">
        <v>-0.27972763047364274</v>
      </c>
      <c r="K12" s="21">
        <v>-8.4790847733993827E-2</v>
      </c>
      <c r="L12" s="21">
        <v>-0.23080640748945641</v>
      </c>
      <c r="M12" s="21">
        <v>0.1714406152231592</v>
      </c>
    </row>
    <row r="13" spans="1:13" x14ac:dyDescent="0.25">
      <c r="A13" s="21">
        <v>0.13835130407440127</v>
      </c>
      <c r="B13" s="21">
        <v>-0.12683364787361703</v>
      </c>
      <c r="C13" s="21">
        <v>0.33547962358580219</v>
      </c>
      <c r="D13" s="21">
        <v>-0.15428913260510158</v>
      </c>
      <c r="E13" s="21">
        <v>-0.27257043981738388</v>
      </c>
      <c r="F13" s="21">
        <v>7.3874435317112477E-2</v>
      </c>
      <c r="G13" s="21">
        <v>0.22480771734288788</v>
      </c>
      <c r="H13" s="21">
        <v>0.35881892027045437</v>
      </c>
      <c r="I13" s="21">
        <v>-0.35473270067391188</v>
      </c>
      <c r="J13" s="21">
        <v>-0.29450135810547201</v>
      </c>
      <c r="K13" s="21">
        <v>-7.7011215356931964E-2</v>
      </c>
      <c r="L13" s="21">
        <v>-0.31768438507454089</v>
      </c>
      <c r="M13" s="21">
        <v>0.1700087201725306</v>
      </c>
    </row>
    <row r="14" spans="1:13" x14ac:dyDescent="0.25">
      <c r="A14" s="21">
        <v>0.10142372466050574</v>
      </c>
      <c r="B14" s="21">
        <v>-0.10592227633943371</v>
      </c>
      <c r="C14" s="21">
        <v>0.32075306089668093</v>
      </c>
      <c r="D14" s="21">
        <v>-0.16065022859302275</v>
      </c>
      <c r="E14" s="21">
        <v>-0.3762880668030828</v>
      </c>
      <c r="F14" s="21">
        <v>6.4886396316874664E-2</v>
      </c>
      <c r="G14" s="21">
        <v>0.22816833518652307</v>
      </c>
      <c r="H14" s="21">
        <v>0.38052654736146296</v>
      </c>
      <c r="I14" s="21">
        <v>-0.40921025437899416</v>
      </c>
      <c r="J14" s="21">
        <v>-0.30675911906850056</v>
      </c>
      <c r="K14" s="21">
        <v>-6.6951554355482001E-2</v>
      </c>
      <c r="L14" s="21">
        <v>-0.42238525226436741</v>
      </c>
      <c r="M14" s="21">
        <v>0.16771473755786745</v>
      </c>
    </row>
    <row r="15" spans="1:13" x14ac:dyDescent="0.25">
      <c r="A15" s="21">
        <v>6.8384882610571199E-2</v>
      </c>
      <c r="B15" s="21">
        <v>-8.8472889089250994E-2</v>
      </c>
      <c r="C15" s="21">
        <v>0.30662486272449729</v>
      </c>
      <c r="D15" s="21">
        <v>-0.16682355869047893</v>
      </c>
      <c r="E15" s="21">
        <v>-0.47934608547425295</v>
      </c>
      <c r="F15" s="21">
        <v>5.6511430603724898E-2</v>
      </c>
      <c r="G15" s="21">
        <v>0.23202258020685279</v>
      </c>
      <c r="H15" s="21">
        <v>0.40422220179587037</v>
      </c>
      <c r="I15" s="21">
        <v>-0.46568484745309197</v>
      </c>
      <c r="J15" s="21">
        <v>-0.32351562778319459</v>
      </c>
      <c r="K15" s="21">
        <v>-5.7638544372739263E-2</v>
      </c>
      <c r="L15" s="21">
        <v>-0.52673331022034253</v>
      </c>
      <c r="M15" s="21">
        <v>0.16598944981548475</v>
      </c>
    </row>
    <row r="16" spans="1:13" x14ac:dyDescent="0.25">
      <c r="A16" s="21">
        <v>3.2818823366838348E-2</v>
      </c>
      <c r="B16" s="21">
        <v>-6.9249961894726805E-2</v>
      </c>
      <c r="C16" s="21">
        <v>0.29068342774037792</v>
      </c>
      <c r="D16" s="21">
        <v>-0.17326152896431443</v>
      </c>
      <c r="E16" s="21">
        <v>-0.58995381431383054</v>
      </c>
      <c r="F16" s="21">
        <v>4.7916318955490464E-2</v>
      </c>
      <c r="G16" s="21">
        <v>0.23476009866853631</v>
      </c>
      <c r="H16" s="21">
        <v>0.42919127525103634</v>
      </c>
      <c r="I16" s="21">
        <v>-0.52637164010600102</v>
      </c>
      <c r="J16" s="21">
        <v>-0.34083162257275118</v>
      </c>
      <c r="K16" s="21">
        <v>-4.8040632208517231E-2</v>
      </c>
      <c r="L16" s="21">
        <v>-0.63861890653560283</v>
      </c>
      <c r="M16" s="21">
        <v>0.1627817948214344</v>
      </c>
    </row>
    <row r="17" spans="1:13" x14ac:dyDescent="0.25">
      <c r="A17" s="21">
        <v>-4.0008064539664261E-3</v>
      </c>
      <c r="B17" s="21">
        <v>-4.9261742284479069E-2</v>
      </c>
      <c r="C17" s="21">
        <v>0.2739103396094118</v>
      </c>
      <c r="D17" s="21">
        <v>-0.17986434054445222</v>
      </c>
      <c r="E17" s="21">
        <v>-0.70432659020912147</v>
      </c>
      <c r="F17" s="21">
        <v>3.9035045388715134E-2</v>
      </c>
      <c r="G17" s="21">
        <v>0.23723382337109825</v>
      </c>
      <c r="H17" s="21">
        <v>0.45484449791440967</v>
      </c>
      <c r="I17" s="21">
        <v>-0.5890796170296736</v>
      </c>
      <c r="J17" s="21">
        <v>-0.35862606649942674</v>
      </c>
      <c r="K17" s="21">
        <v>-3.8125200667332437E-2</v>
      </c>
      <c r="L17" s="21">
        <v>-0.75428343642013007</v>
      </c>
      <c r="M17" s="21">
        <v>0.15914205378779575</v>
      </c>
    </row>
    <row r="18" spans="1:13" x14ac:dyDescent="0.25">
      <c r="A18" s="21">
        <v>-4.3574615536332503E-2</v>
      </c>
      <c r="B18" s="21">
        <v>-2.8687360549617999E-2</v>
      </c>
      <c r="C18" s="21">
        <v>0.25649767776745641</v>
      </c>
      <c r="D18" s="21">
        <v>-0.1860157325008055</v>
      </c>
      <c r="E18" s="21">
        <v>-0.82551345747375859</v>
      </c>
      <c r="F18" s="21">
        <v>2.9261721977019525E-2</v>
      </c>
      <c r="G18" s="21">
        <v>0.24230101040803304</v>
      </c>
      <c r="H18" s="21">
        <v>0.48194192604707181</v>
      </c>
      <c r="I18" s="21">
        <v>-0.6550499442569504</v>
      </c>
      <c r="J18" s="21">
        <v>-0.37738835114178748</v>
      </c>
      <c r="K18" s="21">
        <v>-2.7191046379629033E-2</v>
      </c>
      <c r="L18" s="21">
        <v>-0.87688635677831162</v>
      </c>
      <c r="M18" s="21">
        <v>0.15760169050919576</v>
      </c>
    </row>
    <row r="19" spans="1:13" x14ac:dyDescent="0.25">
      <c r="A19" s="21">
        <v>-8.3757542466544599E-2</v>
      </c>
      <c r="B19" s="21">
        <v>-7.2578853563152641E-3</v>
      </c>
      <c r="C19" s="21">
        <v>0.23825921175795639</v>
      </c>
      <c r="D19" s="21">
        <v>-0.19246173266693362</v>
      </c>
      <c r="E19" s="21">
        <v>-0.94897223670327169</v>
      </c>
      <c r="F19" s="21">
        <v>1.9671201542392328E-2</v>
      </c>
      <c r="G19" s="21">
        <v>0.24591201948802299</v>
      </c>
      <c r="H19" s="21">
        <v>0.50934605806275779</v>
      </c>
      <c r="I19" s="21">
        <v>-0.72247731551982153</v>
      </c>
      <c r="J19" s="21">
        <v>-0.39615212011139639</v>
      </c>
      <c r="K19" s="21">
        <v>-1.6440712818998855E-2</v>
      </c>
      <c r="L19" s="21">
        <v>-1.0017160515003285</v>
      </c>
      <c r="M19" s="21">
        <v>0.15453798596085497</v>
      </c>
    </row>
    <row r="20" spans="1:13" x14ac:dyDescent="0.25">
      <c r="A20" s="21">
        <v>-0.12982304366024516</v>
      </c>
      <c r="B20" s="21">
        <v>1.8187823834741126E-2</v>
      </c>
      <c r="C20" s="21">
        <v>0.21876173306171168</v>
      </c>
      <c r="D20" s="21">
        <v>-0.19898473078290463</v>
      </c>
      <c r="E20" s="21">
        <v>-1.0783703854313962</v>
      </c>
      <c r="F20" s="21">
        <v>8.7024129879399066E-3</v>
      </c>
      <c r="G20" s="21">
        <v>0.25048880519913869</v>
      </c>
      <c r="H20" s="21">
        <v>0.53587377977161654</v>
      </c>
      <c r="I20" s="21">
        <v>-0.79046449918222672</v>
      </c>
      <c r="J20" s="21">
        <v>-0.41133899235540644</v>
      </c>
      <c r="K20" s="21">
        <v>-4.1005388916886057E-3</v>
      </c>
      <c r="L20" s="21">
        <v>-1.1322673818673237</v>
      </c>
      <c r="M20" s="21">
        <v>0.15204832998419548</v>
      </c>
    </row>
    <row r="21" spans="1:13" x14ac:dyDescent="0.25">
      <c r="A21" s="21">
        <v>-0.17260892533780475</v>
      </c>
      <c r="B21" s="21">
        <v>4.1026642200221411E-2</v>
      </c>
      <c r="C21" s="21">
        <v>0.19903681471485718</v>
      </c>
      <c r="D21" s="21">
        <v>-0.20561457121818677</v>
      </c>
      <c r="E21" s="21">
        <v>-1.2093808378098736</v>
      </c>
      <c r="F21" s="21">
        <v>-1.4704993023474736E-3</v>
      </c>
      <c r="G21" s="21">
        <v>0.25410304012998908</v>
      </c>
      <c r="H21" s="21">
        <v>0.56469623270691216</v>
      </c>
      <c r="I21" s="21">
        <v>-0.86190576624926463</v>
      </c>
      <c r="J21" s="21">
        <v>-0.43102609667835939</v>
      </c>
      <c r="K21" s="21">
        <v>7.3091632898315273E-3</v>
      </c>
      <c r="L21" s="21">
        <v>-1.2646926773643101</v>
      </c>
      <c r="M21" s="21">
        <v>0.14860402761006108</v>
      </c>
    </row>
    <row r="22" spans="1:13" x14ac:dyDescent="0.25">
      <c r="A22" s="21">
        <v>-0.21167428701347693</v>
      </c>
      <c r="B22" s="21">
        <v>6.0324173189557642E-2</v>
      </c>
      <c r="C22" s="21">
        <v>0.17991033039708962</v>
      </c>
      <c r="D22" s="21">
        <v>-0.21176938696607708</v>
      </c>
      <c r="E22" s="21">
        <v>-1.3396945650937442</v>
      </c>
      <c r="F22" s="21">
        <v>-1.1010973824580404E-2</v>
      </c>
      <c r="G22" s="21">
        <v>0.25865577546744795</v>
      </c>
      <c r="H22" s="21">
        <v>0.59540392234322947</v>
      </c>
      <c r="I22" s="21">
        <v>-0.93522899843906893</v>
      </c>
      <c r="J22" s="21">
        <v>-0.45501628844435227</v>
      </c>
      <c r="K22" s="21">
        <v>1.7971879237233635E-2</v>
      </c>
      <c r="L22" s="21">
        <v>-1.3967214720324814</v>
      </c>
      <c r="M22" s="21">
        <v>0.14613422065849596</v>
      </c>
    </row>
    <row r="23" spans="1:13" x14ac:dyDescent="0.25">
      <c r="A23" s="21">
        <v>-0.25647408163018792</v>
      </c>
      <c r="B23" s="21">
        <v>8.3960196381653432E-2</v>
      </c>
      <c r="C23" s="21">
        <v>0.15937483336219663</v>
      </c>
      <c r="D23" s="21">
        <v>-0.21822341702450354</v>
      </c>
      <c r="E23" s="21">
        <v>-1.4760043947132582</v>
      </c>
      <c r="F23" s="21">
        <v>-2.159690304560314E-2</v>
      </c>
      <c r="G23" s="21">
        <v>0.26314027516573485</v>
      </c>
      <c r="H23" s="21">
        <v>0.62524311291944923</v>
      </c>
      <c r="I23" s="21">
        <v>-1.0093969483119394</v>
      </c>
      <c r="J23" s="21">
        <v>-0.47522783159402227</v>
      </c>
      <c r="K23" s="21">
        <v>2.98746341942751E-2</v>
      </c>
      <c r="L23" s="21">
        <v>-1.5344952651613206</v>
      </c>
      <c r="M23" s="21">
        <v>0.14321446655585232</v>
      </c>
    </row>
    <row r="24" spans="1:13" x14ac:dyDescent="0.25">
      <c r="A24" s="21">
        <v>-0.30117806265368308</v>
      </c>
      <c r="B24" s="21">
        <v>0.1077174612330203</v>
      </c>
      <c r="C24" s="21">
        <v>0.13866248237096274</v>
      </c>
      <c r="D24" s="21">
        <v>-0.22482328942638652</v>
      </c>
      <c r="E24" s="21">
        <v>-1.6122926452952129</v>
      </c>
      <c r="F24" s="21">
        <v>-3.2172764248043065E-2</v>
      </c>
      <c r="G24" s="21">
        <v>0.26709396149489473</v>
      </c>
      <c r="H24" s="21">
        <v>0.65503228099246935</v>
      </c>
      <c r="I24" s="21">
        <v>-1.083593370922163</v>
      </c>
      <c r="J24" s="21">
        <v>-0.49547293766458461</v>
      </c>
      <c r="K24" s="21">
        <v>4.1753059284346847E-2</v>
      </c>
      <c r="L24" s="21">
        <v>-1.6722313246537024</v>
      </c>
      <c r="M24" s="21">
        <v>0.13981113819980465</v>
      </c>
    </row>
    <row r="25" spans="1:13" x14ac:dyDescent="0.25">
      <c r="A25" s="21">
        <v>-0.34766700994951649</v>
      </c>
      <c r="B25" s="21">
        <v>0.13143279365799765</v>
      </c>
      <c r="C25" s="21">
        <v>0.11797589408864745</v>
      </c>
      <c r="D25" s="21">
        <v>-0.23078241740005179</v>
      </c>
      <c r="E25" s="21">
        <v>-1.7523755262459568</v>
      </c>
      <c r="F25" s="21">
        <v>-4.3407872864381747E-2</v>
      </c>
      <c r="G25" s="21">
        <v>0.27394111981173019</v>
      </c>
      <c r="H25" s="21">
        <v>0.68569777703974055</v>
      </c>
      <c r="I25" s="21">
        <v>-1.159412181570139</v>
      </c>
      <c r="J25" s="21">
        <v>-0.5162639930794074</v>
      </c>
      <c r="K25" s="21">
        <v>5.4396124576290464E-2</v>
      </c>
      <c r="L25" s="21">
        <v>-1.8138738894453612</v>
      </c>
      <c r="M25" s="21">
        <v>0.13893401654054346</v>
      </c>
    </row>
    <row r="26" spans="1:13" x14ac:dyDescent="0.25">
      <c r="A26" s="21">
        <v>-0.39428909031896475</v>
      </c>
      <c r="B26" s="21">
        <v>0.15610850499525722</v>
      </c>
      <c r="C26" s="21">
        <v>9.6276110453028474E-2</v>
      </c>
      <c r="D26" s="21">
        <v>-0.23735232176853205</v>
      </c>
      <c r="E26" s="21">
        <v>-1.8939415750314321</v>
      </c>
      <c r="F26" s="21">
        <v>-5.4386682978976329E-2</v>
      </c>
      <c r="G26" s="21">
        <v>0.27823425753920966</v>
      </c>
      <c r="H26" s="21">
        <v>0.71645366025049328</v>
      </c>
      <c r="I26" s="21">
        <v>-1.2363637597235699</v>
      </c>
      <c r="J26" s="21">
        <v>-0.53706710089758136</v>
      </c>
      <c r="K26" s="21">
        <v>6.6743272574916704E-2</v>
      </c>
      <c r="L26" s="21">
        <v>-1.9569207129331823</v>
      </c>
      <c r="M26" s="21">
        <v>0.13557166220258896</v>
      </c>
    </row>
    <row r="27" spans="1:13" x14ac:dyDescent="0.25">
      <c r="A27" s="21">
        <v>-0.44134675279046365</v>
      </c>
      <c r="B27" s="21">
        <v>0.18009823314967544</v>
      </c>
      <c r="C27" s="21">
        <v>7.525688871683428E-2</v>
      </c>
      <c r="D27" s="21">
        <v>-0.24326248274594914</v>
      </c>
      <c r="E27" s="21">
        <v>-2.0355156280924231</v>
      </c>
      <c r="F27" s="21">
        <v>-6.5728510570345663E-2</v>
      </c>
      <c r="G27" s="21">
        <v>0.28515384764435858</v>
      </c>
      <c r="H27" s="21">
        <v>0.74735169972408988</v>
      </c>
      <c r="I27" s="21">
        <v>-1.3129450143813417</v>
      </c>
      <c r="J27" s="21">
        <v>-0.55797127184378836</v>
      </c>
      <c r="K27" s="21">
        <v>7.9513211531482345E-2</v>
      </c>
      <c r="L27" s="21">
        <v>-2.1000573745145545</v>
      </c>
      <c r="M27" s="21">
        <v>0.13468402634760485</v>
      </c>
    </row>
    <row r="28" spans="1:13" x14ac:dyDescent="0.25">
      <c r="A28" s="21">
        <v>-0.48894112934093181</v>
      </c>
      <c r="B28" s="21">
        <v>0.20490111619539</v>
      </c>
      <c r="C28" s="21">
        <v>5.358864725728351E-2</v>
      </c>
      <c r="D28" s="21">
        <v>-0.249608668386615</v>
      </c>
      <c r="E28" s="21">
        <v>-2.179420288935956</v>
      </c>
      <c r="F28" s="21">
        <v>-7.6916967684194551E-2</v>
      </c>
      <c r="G28" s="21">
        <v>0.29070319993177163</v>
      </c>
      <c r="H28" s="21">
        <v>0.77870925622630804</v>
      </c>
      <c r="I28" s="21">
        <v>-1.3910699145836378</v>
      </c>
      <c r="J28" s="21">
        <v>-0.57903902450501588</v>
      </c>
      <c r="K28" s="21">
        <v>9.2123994843352736E-2</v>
      </c>
      <c r="L28" s="21">
        <v>-2.2455022356912147</v>
      </c>
      <c r="M28" s="21">
        <v>0.13235082292599074</v>
      </c>
    </row>
    <row r="29" spans="1:13" x14ac:dyDescent="0.25">
      <c r="A29" s="21">
        <v>-0.53734817598270923</v>
      </c>
      <c r="B29" s="21">
        <v>0.22953489510625813</v>
      </c>
      <c r="C29" s="21">
        <v>3.1914626330584922E-2</v>
      </c>
      <c r="D29" s="21">
        <v>-0.25553782832688021</v>
      </c>
      <c r="E29" s="21">
        <v>-2.3247809680901983</v>
      </c>
      <c r="F29" s="21">
        <v>-8.8555025212685989E-2</v>
      </c>
      <c r="G29" s="21">
        <v>0.29788980964691775</v>
      </c>
      <c r="H29" s="21">
        <v>0.81034146741130753</v>
      </c>
      <c r="I29" s="21">
        <v>-1.4696438807748107</v>
      </c>
      <c r="J29" s="21">
        <v>-0.60038808166744861</v>
      </c>
      <c r="K29" s="21">
        <v>0.10523578304384863</v>
      </c>
      <c r="L29" s="21">
        <v>-2.3924555644782908</v>
      </c>
      <c r="M29" s="21">
        <v>0.13151467528481564</v>
      </c>
    </row>
    <row r="30" spans="1:13" x14ac:dyDescent="0.25">
      <c r="A30" s="21">
        <v>-0.58112621893811212</v>
      </c>
      <c r="B30" s="21">
        <v>0.25091773243512616</v>
      </c>
      <c r="C30" s="21">
        <v>1.066796494377434E-2</v>
      </c>
      <c r="D30" s="21">
        <v>-0.26155483162360732</v>
      </c>
      <c r="E30" s="21">
        <v>-2.4679673248015908</v>
      </c>
      <c r="F30" s="21">
        <v>-9.9100976539903435E-2</v>
      </c>
      <c r="G30" s="21">
        <v>0.3038468489718204</v>
      </c>
      <c r="H30" s="21">
        <v>0.84353423811133699</v>
      </c>
      <c r="I30" s="21">
        <v>-1.549679218837221</v>
      </c>
      <c r="J30" s="21">
        <v>-0.62579248469257598</v>
      </c>
      <c r="K30" s="21">
        <v>0.1170752502546388</v>
      </c>
      <c r="L30" s="21">
        <v>-2.5374661911897016</v>
      </c>
      <c r="M30" s="21">
        <v>0.1296723930323723</v>
      </c>
    </row>
    <row r="31" spans="1:13" x14ac:dyDescent="0.25">
      <c r="A31" s="21">
        <v>-0.62957366825207961</v>
      </c>
      <c r="B31" s="21">
        <v>0.2761322090750028</v>
      </c>
      <c r="C31" s="21">
        <v>-1.1499226696596247E-2</v>
      </c>
      <c r="D31" s="21">
        <v>-0.26782756676989827</v>
      </c>
      <c r="E31" s="21">
        <v>-2.614108743810494</v>
      </c>
      <c r="F31" s="21">
        <v>-0.11044951211629712</v>
      </c>
      <c r="G31" s="21">
        <v>0.30950484894170283</v>
      </c>
      <c r="H31" s="21">
        <v>0.8752406097530413</v>
      </c>
      <c r="I31" s="21">
        <v>-1.6289477850542105</v>
      </c>
      <c r="J31" s="21">
        <v>-0.64702991065087678</v>
      </c>
      <c r="K31" s="21">
        <v>0.12987634406344095</v>
      </c>
      <c r="L31" s="21">
        <v>-2.6851521975509312</v>
      </c>
      <c r="M31" s="21">
        <v>0.12732341831717264</v>
      </c>
    </row>
    <row r="32" spans="1:13" x14ac:dyDescent="0.25">
      <c r="A32" s="21">
        <v>-0.67914155506950025</v>
      </c>
      <c r="B32" s="21">
        <v>0.3011515992183158</v>
      </c>
      <c r="C32" s="21">
        <v>-3.3484876130504326E-2</v>
      </c>
      <c r="D32" s="21">
        <v>-0.2736543668276773</v>
      </c>
      <c r="E32" s="21">
        <v>-2.7625320420403705</v>
      </c>
      <c r="F32" s="21">
        <v>-0.12234050811297691</v>
      </c>
      <c r="G32" s="21">
        <v>0.31745307574182835</v>
      </c>
      <c r="H32" s="21">
        <v>0.90754074343947277</v>
      </c>
      <c r="I32" s="21">
        <v>-1.7091047680365046</v>
      </c>
      <c r="J32" s="21">
        <v>-0.66873373334294783</v>
      </c>
      <c r="K32" s="21">
        <v>0.14329087454252418</v>
      </c>
      <c r="L32" s="21">
        <v>-2.8352128787852577</v>
      </c>
      <c r="M32" s="21">
        <v>0.12702759024108648</v>
      </c>
    </row>
    <row r="33" spans="1:16" x14ac:dyDescent="0.25">
      <c r="A33">
        <v>-0.72830894407336788</v>
      </c>
      <c r="B33">
        <v>0.32581729054007574</v>
      </c>
      <c r="C33">
        <v>-5.5137822598395107E-2</v>
      </c>
      <c r="D33">
        <v>-0.27924287508477968</v>
      </c>
      <c r="E33">
        <v>-2.9094270513799581</v>
      </c>
      <c r="F33">
        <v>-0.13410542065366576</v>
      </c>
      <c r="G33">
        <v>0.32577374398354836</v>
      </c>
      <c r="H33">
        <v>0.93950554305719314</v>
      </c>
      <c r="I33">
        <v>-1.7883842327627553</v>
      </c>
      <c r="J33">
        <v>-0.69012878019498058</v>
      </c>
      <c r="K33">
        <v>0.15657819614158228</v>
      </c>
      <c r="L33">
        <v>-2.9837357716349411</v>
      </c>
      <c r="M33">
        <v>0.12714807691100444</v>
      </c>
    </row>
    <row r="34" spans="1:16" s="23" customFormat="1" ht="26.25" x14ac:dyDescent="0.4">
      <c r="A34" s="23">
        <v>-0.77816118847862381</v>
      </c>
      <c r="B34" s="23">
        <v>0.35097387854811329</v>
      </c>
      <c r="C34" s="23">
        <v>-7.7289788759246303E-2</v>
      </c>
      <c r="D34" s="23">
        <v>-0.28504519164443576</v>
      </c>
      <c r="E34" s="23">
        <v>-3.0585959356649677</v>
      </c>
      <c r="F34" s="23">
        <v>-0.14604977613786027</v>
      </c>
      <c r="G34" s="23">
        <v>0.33375818667782353</v>
      </c>
      <c r="H34" s="23">
        <v>0.97192194845678836</v>
      </c>
      <c r="I34" s="23">
        <v>-1.8689224377499534</v>
      </c>
      <c r="J34" s="23">
        <v>-0.71188916065274332</v>
      </c>
      <c r="K34" s="23">
        <v>0.17005616345297575</v>
      </c>
      <c r="L34" s="23">
        <v>-3.1345435012641341</v>
      </c>
      <c r="M34" s="23">
        <v>0.12684699173704947</v>
      </c>
    </row>
    <row r="35" spans="1:16" x14ac:dyDescent="0.25">
      <c r="A35">
        <v>-0.82376460037855881</v>
      </c>
      <c r="B35">
        <v>0.37289548117960136</v>
      </c>
      <c r="C35">
        <v>-9.9003858150811766E-2</v>
      </c>
      <c r="D35">
        <v>-0.29076502571897311</v>
      </c>
      <c r="E35">
        <v>-3.2063576625998218</v>
      </c>
      <c r="F35">
        <v>-0.15696545292688077</v>
      </c>
      <c r="G35">
        <v>0.34108008824513997</v>
      </c>
      <c r="H35">
        <v>1.0060652075877774</v>
      </c>
      <c r="I35">
        <v>-1.9512747638759393</v>
      </c>
      <c r="J35">
        <v>-0.73772788181800331</v>
      </c>
      <c r="K35">
        <v>0.18234957647394631</v>
      </c>
      <c r="L35">
        <v>-3.284193310848988</v>
      </c>
      <c r="M35">
        <v>0.1260180891073692</v>
      </c>
      <c r="P35" s="18" t="s">
        <v>45</v>
      </c>
    </row>
    <row r="36" spans="1:16" x14ac:dyDescent="0.25">
      <c r="A36">
        <v>-0.87371265837702405</v>
      </c>
      <c r="B36">
        <v>0.39793082752836167</v>
      </c>
      <c r="C36">
        <v>-0.12097897035531648</v>
      </c>
      <c r="D36">
        <v>-0.29642149993517131</v>
      </c>
      <c r="E36">
        <v>-3.3555481259223705</v>
      </c>
      <c r="F36">
        <v>-0.16891987642965831</v>
      </c>
      <c r="G36">
        <v>0.34959534430854833</v>
      </c>
      <c r="H36">
        <v>1.0385316354905687</v>
      </c>
      <c r="I36">
        <v>-2.0317844961257725</v>
      </c>
      <c r="J36">
        <v>-0.75945469935487309</v>
      </c>
      <c r="K36">
        <v>0.19585187365230947</v>
      </c>
      <c r="L36">
        <v>-3.4350387741146182</v>
      </c>
      <c r="M36">
        <v>0.1262005781868254</v>
      </c>
    </row>
    <row r="37" spans="1:16" x14ac:dyDescent="0.25">
      <c r="A37">
        <v>-0.92422943155115167</v>
      </c>
      <c r="B37">
        <v>0.42324056960656103</v>
      </c>
      <c r="C37">
        <v>-0.14328671601369994</v>
      </c>
      <c r="D37">
        <v>-0.30202900715512021</v>
      </c>
      <c r="E37">
        <v>-3.5062297613551547</v>
      </c>
      <c r="F37">
        <v>-0.18098101890746593</v>
      </c>
      <c r="G37">
        <v>0.35818303216026887</v>
      </c>
      <c r="H37">
        <v>1.0712306068196822</v>
      </c>
      <c r="I37">
        <v>-2.1130566723853952</v>
      </c>
      <c r="J37">
        <v>-0.78129463242312502</v>
      </c>
      <c r="K37">
        <v>0.20948104449529395</v>
      </c>
      <c r="L37">
        <v>-3.5873783341699501</v>
      </c>
      <c r="M37">
        <v>0.12637255307055856</v>
      </c>
    </row>
    <row r="38" spans="1:16" x14ac:dyDescent="0.25">
      <c r="A38">
        <v>-0.97455766073066885</v>
      </c>
      <c r="B38">
        <v>0.44829187216077176</v>
      </c>
      <c r="C38">
        <v>-0.16525129098880692</v>
      </c>
      <c r="D38">
        <v>-0.30751515552973702</v>
      </c>
      <c r="E38">
        <v>-3.6561873897703965</v>
      </c>
      <c r="F38">
        <v>-0.19299886991634319</v>
      </c>
      <c r="G38">
        <v>0.3672653174869619</v>
      </c>
      <c r="H38">
        <v>1.1038633289388373</v>
      </c>
      <c r="I38">
        <v>-2.1939191539027783</v>
      </c>
      <c r="J38">
        <v>-0.8030444448047972</v>
      </c>
      <c r="K38">
        <v>0.22307110837293961</v>
      </c>
      <c r="L38">
        <v>-3.7390085794669039</v>
      </c>
      <c r="M38">
        <v>0.12703335930555787</v>
      </c>
    </row>
    <row r="39" spans="1:16" x14ac:dyDescent="0.25">
      <c r="A39">
        <v>-1.0248858899101791</v>
      </c>
      <c r="B39">
        <v>0.47334317471497889</v>
      </c>
      <c r="C39">
        <v>-0.18721586596390882</v>
      </c>
      <c r="D39">
        <v>-0.31300130390435488</v>
      </c>
      <c r="E39">
        <v>-3.8061450181856178</v>
      </c>
      <c r="F39">
        <v>-0.20501672092521922</v>
      </c>
      <c r="G39">
        <v>0.37634760281365376</v>
      </c>
      <c r="H39">
        <v>1.1364960510579891</v>
      </c>
      <c r="I39">
        <v>-2.274781635420152</v>
      </c>
      <c r="J39">
        <v>-0.82479425718646715</v>
      </c>
      <c r="K39">
        <v>0.23666117225058375</v>
      </c>
      <c r="L39">
        <v>-3.8906388247638386</v>
      </c>
      <c r="M39">
        <v>0.12769416554055729</v>
      </c>
    </row>
    <row r="40" spans="1:16" x14ac:dyDescent="0.25">
      <c r="A40">
        <v>-1.0708694729911183</v>
      </c>
      <c r="B40">
        <v>0.49528073355188518</v>
      </c>
      <c r="C40">
        <v>-0.20891939812606111</v>
      </c>
      <c r="D40">
        <v>-0.31855081213731112</v>
      </c>
      <c r="E40">
        <v>-3.9546739102131068</v>
      </c>
      <c r="F40">
        <v>-0.21599582522032909</v>
      </c>
      <c r="G40">
        <v>0.38423653364425081</v>
      </c>
      <c r="H40">
        <v>1.1708056044053468</v>
      </c>
      <c r="I40">
        <v>-2.3574867108136752</v>
      </c>
      <c r="J40">
        <v>-0.85065597319655339</v>
      </c>
      <c r="K40">
        <v>0.2490423519708245</v>
      </c>
      <c r="L40">
        <v>-4.0410734163799606</v>
      </c>
      <c r="M40">
        <v>0.1273435800664196</v>
      </c>
    </row>
    <row r="41" spans="1:16" x14ac:dyDescent="0.25">
      <c r="A41">
        <v>-1.1218218282673207</v>
      </c>
      <c r="B41">
        <v>0.51990449244725201</v>
      </c>
      <c r="C41">
        <v>-0.23054658188502739</v>
      </c>
      <c r="D41">
        <v>-0.32349857596619624</v>
      </c>
      <c r="E41">
        <v>-4.1053635499214733</v>
      </c>
      <c r="F41">
        <v>-0.22841998517491766</v>
      </c>
      <c r="G41">
        <v>0.39545067387365457</v>
      </c>
      <c r="H41">
        <v>1.2036467319973185</v>
      </c>
      <c r="I41">
        <v>-2.4383885635776741</v>
      </c>
      <c r="J41">
        <v>-0.87259696939284792</v>
      </c>
      <c r="K41">
        <v>0.26309431377175524</v>
      </c>
      <c r="L41">
        <v>-4.1935028145289133</v>
      </c>
      <c r="M41">
        <v>0.12999027343313191</v>
      </c>
    </row>
    <row r="42" spans="1:16" x14ac:dyDescent="0.25">
      <c r="A42">
        <v>-1.1732150840292686</v>
      </c>
      <c r="B42">
        <v>0.54546264789318544</v>
      </c>
      <c r="C42">
        <v>-0.25299963932369202</v>
      </c>
      <c r="D42">
        <v>-0.32902820680178524</v>
      </c>
      <c r="E42">
        <v>-4.2583622183747991</v>
      </c>
      <c r="F42">
        <v>-0.24068070663339838</v>
      </c>
      <c r="G42">
        <v>0.40476376291618443</v>
      </c>
      <c r="H42">
        <v>1.2368973541147052</v>
      </c>
      <c r="I42">
        <v>-2.5208625346235372</v>
      </c>
      <c r="J42">
        <v>-0.89473511022504737</v>
      </c>
      <c r="K42">
        <v>0.27696279006101626</v>
      </c>
      <c r="L42">
        <v>-4.3482026786366683</v>
      </c>
      <c r="M42">
        <v>0.13070782497980063</v>
      </c>
    </row>
    <row r="43" spans="1:16" x14ac:dyDescent="0.25">
      <c r="A43">
        <v>-1.2239234843898239</v>
      </c>
      <c r="B43">
        <v>0.57052990665283754</v>
      </c>
      <c r="C43">
        <v>-0.27495367706938884</v>
      </c>
      <c r="D43">
        <v>-0.33434402933482049</v>
      </c>
      <c r="E43">
        <v>-4.4090870118826917</v>
      </c>
      <c r="F43">
        <v>-0.252761985148373</v>
      </c>
      <c r="G43">
        <v>0.41441307750616663</v>
      </c>
      <c r="H43">
        <v>1.2696963704502173</v>
      </c>
      <c r="I43">
        <v>-2.6020777654084495</v>
      </c>
      <c r="J43">
        <v>-0.91650791745151716</v>
      </c>
      <c r="K43">
        <v>0.29064062063794138</v>
      </c>
      <c r="L43">
        <v>-4.5006177059649062</v>
      </c>
      <c r="M43">
        <v>0.1318469483703498</v>
      </c>
    </row>
    <row r="44" spans="1:16" x14ac:dyDescent="0.25">
      <c r="A44">
        <v>-1.2749716532592337</v>
      </c>
      <c r="B44">
        <v>0.59503242388892907</v>
      </c>
      <c r="C44">
        <v>-0.29640400687201068</v>
      </c>
      <c r="D44">
        <v>-0.33914595082024995</v>
      </c>
      <c r="E44">
        <v>-4.5597982306285969</v>
      </c>
      <c r="F44">
        <v>-0.26519621312154357</v>
      </c>
      <c r="G44">
        <v>0.4261580311046958</v>
      </c>
      <c r="H44">
        <v>1.3025875205453856</v>
      </c>
      <c r="I44">
        <v>-2.6829511454350841</v>
      </c>
      <c r="J44">
        <v>-0.93841535072691817</v>
      </c>
      <c r="K44">
        <v>0.30471691230584086</v>
      </c>
      <c r="L44">
        <v>-4.6530848377502929</v>
      </c>
      <c r="M44">
        <v>0.134977215990466</v>
      </c>
    </row>
    <row r="45" spans="1:16" x14ac:dyDescent="0.25">
      <c r="A45">
        <v>-1.3264607226143834</v>
      </c>
      <c r="B45">
        <v>0.62046933767557921</v>
      </c>
      <c r="C45">
        <v>-0.31868021035432159</v>
      </c>
      <c r="D45">
        <v>-0.34452973931238012</v>
      </c>
      <c r="E45">
        <v>-4.7128184781194387</v>
      </c>
      <c r="F45">
        <v>-0.27746700259860635</v>
      </c>
      <c r="G45">
        <v>0.43600193351636551</v>
      </c>
      <c r="H45">
        <v>1.3358881651659651</v>
      </c>
      <c r="I45">
        <v>-2.76539664374357</v>
      </c>
      <c r="J45">
        <v>-0.96051992863822344</v>
      </c>
      <c r="K45">
        <v>0.31860971846207053</v>
      </c>
      <c r="L45">
        <v>-4.8078224354944643</v>
      </c>
      <c r="M45">
        <v>0.13617834179055327</v>
      </c>
    </row>
    <row r="46" spans="1:16" x14ac:dyDescent="0.25">
      <c r="A46">
        <v>-1.3731642453852559</v>
      </c>
      <c r="B46">
        <v>0.64185811119439262</v>
      </c>
      <c r="C46">
        <v>-0.33986949734399652</v>
      </c>
      <c r="D46">
        <v>-0.34939502065614647</v>
      </c>
      <c r="E46">
        <v>-4.8621009604776289</v>
      </c>
      <c r="F46">
        <v>-0.28886248385801833</v>
      </c>
      <c r="G46">
        <v>0.4465535326188092</v>
      </c>
      <c r="H46">
        <v>1.3704561464893283</v>
      </c>
      <c r="I46">
        <v>-2.848112617646346</v>
      </c>
      <c r="J46">
        <v>-0.98653926554201143</v>
      </c>
      <c r="K46">
        <v>0.33147712597257539</v>
      </c>
      <c r="L46">
        <v>-4.9590939135990544</v>
      </c>
      <c r="M46">
        <v>0.13829721770153966</v>
      </c>
    </row>
    <row r="47" spans="1:16" x14ac:dyDescent="0.25">
      <c r="A47">
        <v>-1.4249930832492699</v>
      </c>
      <c r="B47">
        <v>0.66673028345748897</v>
      </c>
      <c r="C47">
        <v>-0.36164199288323901</v>
      </c>
      <c r="D47">
        <v>-0.35426490810067313</v>
      </c>
      <c r="E47">
        <v>-5.0151076332065152</v>
      </c>
      <c r="F47">
        <v>-0.30148622279327869</v>
      </c>
      <c r="G47">
        <v>0.45849307403902051</v>
      </c>
      <c r="H47">
        <v>1.40384892486957</v>
      </c>
      <c r="I47">
        <v>-2.9302162651965746</v>
      </c>
      <c r="J47">
        <v>-1.0087784695022528</v>
      </c>
      <c r="K47">
        <v>0.34576839321978126</v>
      </c>
      <c r="L47">
        <v>-5.1138836158004102</v>
      </c>
      <c r="M47">
        <v>0.14148948773118811</v>
      </c>
    </row>
    <row r="48" spans="1:16" x14ac:dyDescent="0.25">
      <c r="A48">
        <v>-1.4760816547908604</v>
      </c>
      <c r="B48">
        <v>0.69181349842258155</v>
      </c>
      <c r="C48">
        <v>-0.38358549339952658</v>
      </c>
      <c r="D48">
        <v>-0.35941040479212483</v>
      </c>
      <c r="E48">
        <v>-5.1665995918070493</v>
      </c>
      <c r="F48">
        <v>-0.31363092881434962</v>
      </c>
      <c r="G48">
        <v>0.46870941789229076</v>
      </c>
      <c r="H48">
        <v>1.4368142354214362</v>
      </c>
      <c r="I48">
        <v>-3.0117842452490069</v>
      </c>
      <c r="J48">
        <v>-1.0305742715735171</v>
      </c>
      <c r="K48">
        <v>0.35953399049598483</v>
      </c>
      <c r="L48">
        <v>-5.2670834251599175</v>
      </c>
      <c r="M48">
        <v>0.14310692827728591</v>
      </c>
    </row>
    <row r="49" spans="1:15" x14ac:dyDescent="0.25">
      <c r="A49">
        <v>-1.5280063062480833</v>
      </c>
      <c r="B49">
        <v>0.71656442902640172</v>
      </c>
      <c r="C49">
        <v>-0.40518113498242236</v>
      </c>
      <c r="D49">
        <v>-0.36413444989319388</v>
      </c>
      <c r="E49">
        <v>-5.3196278435734738</v>
      </c>
      <c r="F49">
        <v>-0.32626473576819309</v>
      </c>
      <c r="G49">
        <v>0.48117977268163609</v>
      </c>
      <c r="H49">
        <v>1.4702570363048739</v>
      </c>
      <c r="I49">
        <v>-3.0938594200618703</v>
      </c>
      <c r="J49">
        <v>-1.0527799126128647</v>
      </c>
      <c r="K49">
        <v>0.37384958761016046</v>
      </c>
      <c r="L49">
        <v>-5.4219108609977091</v>
      </c>
      <c r="M49">
        <v>0.146782772560346</v>
      </c>
    </row>
    <row r="50" spans="1:15" x14ac:dyDescent="0.25">
      <c r="A50">
        <v>-1.5794346462985385</v>
      </c>
      <c r="B50">
        <v>0.74108290246793762</v>
      </c>
      <c r="C50">
        <v>-0.42662092755563913</v>
      </c>
      <c r="D50">
        <v>-0.36876604553704068</v>
      </c>
      <c r="E50">
        <v>-5.471106227412049</v>
      </c>
      <c r="F50">
        <v>-0.33876239124746271</v>
      </c>
      <c r="G50">
        <v>0.49349175554345637</v>
      </c>
      <c r="H50">
        <v>1.5033144806164025</v>
      </c>
      <c r="I50">
        <v>-3.1750855493560426</v>
      </c>
      <c r="J50">
        <v>-1.0747103407330658</v>
      </c>
      <c r="K50">
        <v>0.38801364597734134</v>
      </c>
      <c r="L50">
        <v>-5.5751627748143981</v>
      </c>
      <c r="M50">
        <v>0.15039135733601247</v>
      </c>
    </row>
    <row r="51" spans="1:15" x14ac:dyDescent="0.25">
      <c r="A51">
        <v>-1.6310195292469098</v>
      </c>
      <c r="B51">
        <v>0.76639857459532024</v>
      </c>
      <c r="C51">
        <v>-0.44872027708161166</v>
      </c>
      <c r="D51">
        <v>-0.3740039916857143</v>
      </c>
      <c r="E51">
        <v>-5.624148053940468</v>
      </c>
      <c r="F51">
        <v>-0.35104324874310927</v>
      </c>
      <c r="G51">
        <v>0.50386647132425388</v>
      </c>
      <c r="H51">
        <v>1.5366651477401854</v>
      </c>
      <c r="I51">
        <v>-3.257502574927186</v>
      </c>
      <c r="J51">
        <v>-1.0967813557234805</v>
      </c>
      <c r="K51">
        <v>0.40193078200054194</v>
      </c>
      <c r="L51">
        <v>-5.7299381061950445</v>
      </c>
      <c r="M51">
        <v>0.1520760573895035</v>
      </c>
    </row>
    <row r="52" spans="1:15" x14ac:dyDescent="0.25">
      <c r="A52">
        <v>-1.6832285382919592</v>
      </c>
      <c r="B52">
        <v>0.79128670306385696</v>
      </c>
      <c r="C52">
        <v>-0.47048223539144518</v>
      </c>
      <c r="D52">
        <v>-0.37870355328865735</v>
      </c>
      <c r="E52">
        <v>-5.777921891761995</v>
      </c>
      <c r="F52">
        <v>-0.36373041518446592</v>
      </c>
      <c r="G52">
        <v>0.51637304200775291</v>
      </c>
      <c r="H52">
        <v>1.5702242203367813</v>
      </c>
      <c r="I52">
        <v>-3.3399589717449363</v>
      </c>
      <c r="J52">
        <v>-1.1190435545285167</v>
      </c>
      <c r="K52">
        <v>0.41630981594702637</v>
      </c>
      <c r="L52">
        <v>-5.8855125904276715</v>
      </c>
      <c r="M52">
        <v>0.15574664457470064</v>
      </c>
    </row>
    <row r="54" spans="1:15" ht="26.25" x14ac:dyDescent="0.4">
      <c r="A54" s="25" t="s">
        <v>41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4"/>
    </row>
    <row r="55" spans="1:15" ht="26.25" x14ac:dyDescent="0.4">
      <c r="A55" s="25" t="s">
        <v>42</v>
      </c>
      <c r="O55" s="2" t="s">
        <v>36</v>
      </c>
    </row>
    <row r="56" spans="1:15" x14ac:dyDescent="0.25">
      <c r="A56" cm="1">
        <f t="array" ref="A56:M105">'Step 5 - NOC6 - X &amp; X̆'!Q3:AC52-_xlfn.ANCHORARRAY(A3)</f>
        <v>-0.13889169876690255</v>
      </c>
      <c r="B56">
        <v>0.12017739104380559</v>
      </c>
      <c r="C56">
        <v>3.6786021752712894E-2</v>
      </c>
      <c r="D56">
        <v>0.36616990637947622</v>
      </c>
      <c r="E56">
        <v>1.962148228009078E-2</v>
      </c>
      <c r="F56">
        <v>-8.3020107922499087E-2</v>
      </c>
      <c r="G56">
        <v>-0.12382957230363197</v>
      </c>
      <c r="H56">
        <v>0.53110076921823079</v>
      </c>
      <c r="I56">
        <v>0.12675905603221904</v>
      </c>
      <c r="J56">
        <v>-4.8863188443280137E-2</v>
      </c>
      <c r="K56">
        <v>8.7021013242908091E-2</v>
      </c>
      <c r="L56">
        <v>8.8458520910519534E-2</v>
      </c>
      <c r="M56">
        <v>-4.2689625735978343E-2</v>
      </c>
      <c r="O56" s="2">
        <f>A56^2+B56^2+C56^2+D56^2+E56^2+F56^2+G56^2+H56^2+I56^2+J56^2+K56^2+L56^2+M56^2</f>
        <v>0.50952169225022514</v>
      </c>
    </row>
    <row r="57" spans="1:15" x14ac:dyDescent="0.25">
      <c r="A57">
        <v>-0.13889169876690255</v>
      </c>
      <c r="B57">
        <v>0.12017739104380559</v>
      </c>
      <c r="C57">
        <v>3.6786021752712894E-2</v>
      </c>
      <c r="D57">
        <v>0.36616990637947622</v>
      </c>
      <c r="E57">
        <v>1.962148228009078E-2</v>
      </c>
      <c r="F57">
        <v>-8.3020107922499087E-2</v>
      </c>
      <c r="G57">
        <v>-0.12382957230363197</v>
      </c>
      <c r="H57">
        <v>0.53110076921823079</v>
      </c>
      <c r="I57">
        <v>0.12675905603221904</v>
      </c>
      <c r="J57">
        <v>-4.8863188443280137E-2</v>
      </c>
      <c r="K57">
        <v>8.7021013242908091E-2</v>
      </c>
      <c r="L57">
        <v>8.8458520910519534E-2</v>
      </c>
      <c r="M57">
        <v>-4.2689625735978343E-2</v>
      </c>
      <c r="O57" s="2">
        <f>A57^2+B57^2+C57^2+D57^2+E57^2+F57^2+G57^2+H57^2+I57^2+J57^2+K57^2+L57^2+M57^2</f>
        <v>0.50952169225022514</v>
      </c>
    </row>
    <row r="58" spans="1:15" x14ac:dyDescent="0.25">
      <c r="A58">
        <v>-0.1957632163339828</v>
      </c>
      <c r="B58">
        <v>0.14761696398811916</v>
      </c>
      <c r="C58">
        <v>3.5226763645258563E-3</v>
      </c>
      <c r="D58">
        <v>0.37106660600434538</v>
      </c>
      <c r="E58">
        <v>0.24931550335077948</v>
      </c>
      <c r="F58">
        <v>-9.3692005425688452E-2</v>
      </c>
      <c r="G58">
        <v>-0.11658639347218065</v>
      </c>
      <c r="H58">
        <v>0.5543551118510035</v>
      </c>
      <c r="I58">
        <v>5.0514655051893835E-2</v>
      </c>
      <c r="J58">
        <v>-6.0174741581837471E-2</v>
      </c>
      <c r="K58">
        <v>9.970837970523623E-2</v>
      </c>
      <c r="L58">
        <v>-6.095115806229226E-2</v>
      </c>
      <c r="M58">
        <v>-4.3741045308252929E-2</v>
      </c>
      <c r="O58" s="2">
        <f t="shared" ref="O58:O105" si="0">A58^2+B58^2+C58^2+D58^2+E58^2+F58^2+G58^2+H58^2+I58^2+J58^2+K58^2+L58^2+M58^2</f>
        <v>0.61139804313346668</v>
      </c>
    </row>
    <row r="59" spans="1:15" x14ac:dyDescent="0.25">
      <c r="A59">
        <v>-0.17614723666099419</v>
      </c>
      <c r="B59">
        <v>0.12945499572166511</v>
      </c>
      <c r="C59">
        <v>1.5229566723357513E-2</v>
      </c>
      <c r="D59">
        <v>0.37636588413950844</v>
      </c>
      <c r="E59">
        <v>0.4190581077921815</v>
      </c>
      <c r="F59">
        <v>-8.5063283229715014E-2</v>
      </c>
      <c r="G59">
        <v>-0.12578034239192243</v>
      </c>
      <c r="H59">
        <v>0.53417241954984629</v>
      </c>
      <c r="I59">
        <v>9.9407377967747013E-2</v>
      </c>
      <c r="J59">
        <v>-4.8976051982977192E-2</v>
      </c>
      <c r="K59">
        <v>9.002694712972914E-2</v>
      </c>
      <c r="L59">
        <v>-0.27437443109597903</v>
      </c>
      <c r="M59">
        <v>-5.0176088788003878E-2</v>
      </c>
      <c r="O59" s="2">
        <f t="shared" si="0"/>
        <v>0.77186029154450897</v>
      </c>
    </row>
    <row r="60" spans="1:15" x14ac:dyDescent="0.25">
      <c r="A60">
        <v>-0.19400057921991837</v>
      </c>
      <c r="B60">
        <v>0.13790211843937655</v>
      </c>
      <c r="C60">
        <v>2.0267112664744125E-3</v>
      </c>
      <c r="D60">
        <v>0.38142263960466372</v>
      </c>
      <c r="E60">
        <v>0.62111001879365269</v>
      </c>
      <c r="F60">
        <v>-8.7365170578792867E-2</v>
      </c>
      <c r="G60">
        <v>-0.12701031441538707</v>
      </c>
      <c r="H60">
        <v>0.53711616499949455</v>
      </c>
      <c r="I60">
        <v>8.0194327381182873E-2</v>
      </c>
      <c r="J60">
        <v>-4.8185823713754572E-2</v>
      </c>
      <c r="K60">
        <v>9.3036107496229953E-2</v>
      </c>
      <c r="L60">
        <v>-0.45400709710077453</v>
      </c>
      <c r="M60">
        <v>-5.1369906636192633E-2</v>
      </c>
      <c r="O60" s="2">
        <f t="shared" si="0"/>
        <v>1.126346312291878</v>
      </c>
    </row>
    <row r="61" spans="1:15" x14ac:dyDescent="0.25">
      <c r="A61">
        <v>-0.16962367417549928</v>
      </c>
      <c r="B61">
        <v>0.12509235429987223</v>
      </c>
      <c r="C61">
        <v>1.1196602245787279E-2</v>
      </c>
      <c r="D61">
        <v>0.38711789938903263</v>
      </c>
      <c r="E61">
        <v>0.79208501171638013</v>
      </c>
      <c r="F61">
        <v>-8.0897458895168611E-2</v>
      </c>
      <c r="G61">
        <v>-0.13526048518765776</v>
      </c>
      <c r="H61">
        <v>0.51802428846338766</v>
      </c>
      <c r="I61">
        <v>0.12348356702812976</v>
      </c>
      <c r="J61">
        <v>-3.4368994356162086E-2</v>
      </c>
      <c r="K61">
        <v>8.5891513873088104E-2</v>
      </c>
      <c r="L61">
        <v>-0.6656800995130987</v>
      </c>
      <c r="M61">
        <v>-5.5692973650010372E-2</v>
      </c>
      <c r="O61" s="2">
        <f t="shared" si="0"/>
        <v>1.5850320202631463</v>
      </c>
    </row>
    <row r="62" spans="1:15" x14ac:dyDescent="0.25">
      <c r="A62">
        <v>-0.17517834964304776</v>
      </c>
      <c r="B62">
        <v>0.11880226942108343</v>
      </c>
      <c r="C62">
        <v>1.043097434546375E-2</v>
      </c>
      <c r="D62">
        <v>0.39269425489304366</v>
      </c>
      <c r="E62">
        <v>0.9813523223272993</v>
      </c>
      <c r="F62">
        <v>-7.7629365062344136E-2</v>
      </c>
      <c r="G62">
        <v>-0.14043121913443501</v>
      </c>
      <c r="H62">
        <v>0.51088081346020253</v>
      </c>
      <c r="I62">
        <v>0.1360333155971678</v>
      </c>
      <c r="J62">
        <v>-3.0771517096561146E-2</v>
      </c>
      <c r="K62">
        <v>8.244057597276172E-2</v>
      </c>
      <c r="L62">
        <v>-0.8617930031235167</v>
      </c>
      <c r="M62">
        <v>-6.0961490332860135E-2</v>
      </c>
      <c r="O62" s="2">
        <f t="shared" si="0"/>
        <v>2.2215697295013248</v>
      </c>
    </row>
    <row r="63" spans="1:15" x14ac:dyDescent="0.25">
      <c r="A63">
        <v>-0.14954787402157191</v>
      </c>
      <c r="B63">
        <v>0.10522721286585546</v>
      </c>
      <c r="C63">
        <v>2.0432518471625638E-2</v>
      </c>
      <c r="D63">
        <v>0.3985543559837198</v>
      </c>
      <c r="E63">
        <v>1.15230424998472</v>
      </c>
      <c r="F63">
        <v>-7.0875491460183349E-2</v>
      </c>
      <c r="G63">
        <v>-0.14954615889433162</v>
      </c>
      <c r="H63">
        <v>0.49110478771589716</v>
      </c>
      <c r="I63">
        <v>0.18134373951486299</v>
      </c>
      <c r="J63">
        <v>-1.6476238601853599E-2</v>
      </c>
      <c r="K63">
        <v>7.4978462972662308E-2</v>
      </c>
      <c r="L63">
        <v>-1.0755069342237313</v>
      </c>
      <c r="M63">
        <v>-6.4852471307067852E-2</v>
      </c>
      <c r="O63" s="2">
        <f t="shared" si="0"/>
        <v>2.9887765782240807</v>
      </c>
    </row>
    <row r="64" spans="1:15" x14ac:dyDescent="0.25">
      <c r="A64">
        <v>-0.1419398850227851</v>
      </c>
      <c r="B64">
        <v>9.2307457834469364E-2</v>
      </c>
      <c r="C64">
        <v>2.675584255046437E-2</v>
      </c>
      <c r="D64">
        <v>0.40435403639431311</v>
      </c>
      <c r="E64">
        <v>1.331180281750497</v>
      </c>
      <c r="F64">
        <v>-6.4777458779926855E-2</v>
      </c>
      <c r="G64">
        <v>-0.15837449152370928</v>
      </c>
      <c r="H64">
        <v>0.47714153860942887</v>
      </c>
      <c r="I64">
        <v>0.21332312386987207</v>
      </c>
      <c r="J64">
        <v>-8.74352587941718E-3</v>
      </c>
      <c r="K64">
        <v>6.8270459364053501E-2</v>
      </c>
      <c r="L64">
        <v>-1.2809974299652094</v>
      </c>
      <c r="M64">
        <v>-6.9518431312822412E-2</v>
      </c>
      <c r="O64" s="2">
        <f t="shared" si="0"/>
        <v>3.9179005366242379</v>
      </c>
    </row>
    <row r="65" spans="1:15" x14ac:dyDescent="0.25">
      <c r="A65">
        <v>-0.11309733680610339</v>
      </c>
      <c r="B65">
        <v>7.6467964648618936E-2</v>
      </c>
      <c r="C65">
        <v>3.9069643181528169E-2</v>
      </c>
      <c r="D65">
        <v>0.41069258596391722</v>
      </c>
      <c r="E65">
        <v>1.4986974013983911</v>
      </c>
      <c r="F65">
        <v>-5.762399629917022E-2</v>
      </c>
      <c r="G65">
        <v>-0.16603647917751563</v>
      </c>
      <c r="H65">
        <v>0.45564048806248258</v>
      </c>
      <c r="I65">
        <v>0.26410448762734479</v>
      </c>
      <c r="J65">
        <v>6.4765722958877725E-3</v>
      </c>
      <c r="K65">
        <v>6.0332798470132856E-2</v>
      </c>
      <c r="L65">
        <v>-1.4965287104409979</v>
      </c>
      <c r="M65">
        <v>-7.6396263176728527E-2</v>
      </c>
      <c r="O65" s="2">
        <f t="shared" si="0"/>
        <v>4.9922917302278647</v>
      </c>
    </row>
    <row r="66" spans="1:15" x14ac:dyDescent="0.25">
      <c r="A66">
        <v>-8.6213290607554019E-2</v>
      </c>
      <c r="B66">
        <v>6.2127615677664172E-2</v>
      </c>
      <c r="C66">
        <v>4.9902840454538466E-2</v>
      </c>
      <c r="D66">
        <v>0.41671752836089909</v>
      </c>
      <c r="E66">
        <v>1.6696262637906034</v>
      </c>
      <c r="F66">
        <v>-5.058396077846871E-2</v>
      </c>
      <c r="G66">
        <v>-0.17601618792502569</v>
      </c>
      <c r="H66">
        <v>0.43518031310996619</v>
      </c>
      <c r="I66">
        <v>0.31143609581581161</v>
      </c>
      <c r="J66">
        <v>2.1250299927717042E-2</v>
      </c>
      <c r="K66">
        <v>5.2553166093070994E-2</v>
      </c>
      <c r="L66">
        <v>-1.7122835702292223</v>
      </c>
      <c r="M66">
        <v>-7.9855158111341945E-2</v>
      </c>
      <c r="O66" s="2">
        <f t="shared" si="0"/>
        <v>6.2365082886377134</v>
      </c>
    </row>
    <row r="67" spans="1:15" x14ac:dyDescent="0.25">
      <c r="A67">
        <v>-6.3768492712198588E-2</v>
      </c>
      <c r="B67">
        <v>4.1216244143480851E-2</v>
      </c>
      <c r="C67">
        <v>6.4629403143659725E-2</v>
      </c>
      <c r="D67">
        <v>0.42307862434882026</v>
      </c>
      <c r="E67">
        <v>1.8358477440722609</v>
      </c>
      <c r="F67">
        <v>-4.1595921778230897E-2</v>
      </c>
      <c r="G67">
        <v>-0.18614818224916854</v>
      </c>
      <c r="H67">
        <v>0.41347268601895759</v>
      </c>
      <c r="I67">
        <v>0.36591364952089389</v>
      </c>
      <c r="J67">
        <v>3.3508060890745595E-2</v>
      </c>
      <c r="K67">
        <v>4.2493505091621031E-2</v>
      </c>
      <c r="L67">
        <v>-1.9276751271841577</v>
      </c>
      <c r="M67">
        <v>-8.7342755467145469E-2</v>
      </c>
      <c r="O67" s="2">
        <f t="shared" si="0"/>
        <v>7.6269970894602483</v>
      </c>
    </row>
    <row r="68" spans="1:15" x14ac:dyDescent="0.25">
      <c r="A68">
        <v>-3.0729650662264046E-2</v>
      </c>
      <c r="B68">
        <v>2.3766856893298133E-2</v>
      </c>
      <c r="C68">
        <v>7.8757601315843362E-2</v>
      </c>
      <c r="D68">
        <v>0.42925195444627645</v>
      </c>
      <c r="E68">
        <v>2.0033036721998831</v>
      </c>
      <c r="F68">
        <v>-3.3220956065081131E-2</v>
      </c>
      <c r="G68">
        <v>-0.19790236649676254</v>
      </c>
      <c r="H68">
        <v>0.38977703158455018</v>
      </c>
      <c r="I68">
        <v>0.42238824259499169</v>
      </c>
      <c r="J68">
        <v>5.0264569605439624E-2</v>
      </c>
      <c r="K68">
        <v>3.3180495108878286E-2</v>
      </c>
      <c r="L68">
        <v>-2.1492393556301503</v>
      </c>
      <c r="M68">
        <v>-9.0508257709987411E-2</v>
      </c>
      <c r="O68" s="2">
        <f t="shared" si="0"/>
        <v>9.2068507432636597</v>
      </c>
    </row>
    <row r="69" spans="1:15" x14ac:dyDescent="0.25">
      <c r="A69">
        <v>4.836408581468804E-3</v>
      </c>
      <c r="B69">
        <v>4.5439296987739436E-3</v>
      </c>
      <c r="C69">
        <v>9.4699036299962736E-2</v>
      </c>
      <c r="D69">
        <v>0.43568992472011192</v>
      </c>
      <c r="E69">
        <v>2.1650509173725663</v>
      </c>
      <c r="F69">
        <v>-2.4625844416846697E-2</v>
      </c>
      <c r="G69">
        <v>-0.20741126143895372</v>
      </c>
      <c r="H69">
        <v>0.36480795812938421</v>
      </c>
      <c r="I69">
        <v>0.48307503524790074</v>
      </c>
      <c r="J69">
        <v>6.7580564394996212E-2</v>
      </c>
      <c r="K69">
        <v>2.3582582944656257E-2</v>
      </c>
      <c r="L69">
        <v>-2.369085907974064</v>
      </c>
      <c r="M69">
        <v>-9.7082182686421117E-2</v>
      </c>
      <c r="O69" s="2">
        <f t="shared" si="0"/>
        <v>10.923471590977597</v>
      </c>
    </row>
    <row r="70" spans="1:15" x14ac:dyDescent="0.25">
      <c r="A70">
        <v>4.1656038402273582E-2</v>
      </c>
      <c r="B70">
        <v>-1.5444289911473792E-2</v>
      </c>
      <c r="C70">
        <v>0.11147212443092885</v>
      </c>
      <c r="D70">
        <v>0.44229273630024973</v>
      </c>
      <c r="E70">
        <v>2.3267750972799766</v>
      </c>
      <c r="F70">
        <v>-1.5744570850071367E-2</v>
      </c>
      <c r="G70">
        <v>-0.2177849253687639</v>
      </c>
      <c r="H70">
        <v>0.33915473546601088</v>
      </c>
      <c r="I70">
        <v>0.54578301217157332</v>
      </c>
      <c r="J70">
        <v>8.5375008321671775E-2</v>
      </c>
      <c r="K70">
        <v>1.3667151403471463E-2</v>
      </c>
      <c r="L70">
        <v>-2.5909733890059163</v>
      </c>
      <c r="M70">
        <v>-0.10322402162324915</v>
      </c>
      <c r="O70" s="2">
        <f t="shared" si="0"/>
        <v>12.815762184501111</v>
      </c>
    </row>
    <row r="71" spans="1:15" x14ac:dyDescent="0.25">
      <c r="A71">
        <v>8.1229847484639656E-2</v>
      </c>
      <c r="B71">
        <v>-3.6018671646334863E-2</v>
      </c>
      <c r="C71">
        <v>0.12888478627288424</v>
      </c>
      <c r="D71">
        <v>0.44844412825660301</v>
      </c>
      <c r="E71">
        <v>2.4896312000752525</v>
      </c>
      <c r="F71">
        <v>-5.9712474383757583E-3</v>
      </c>
      <c r="G71">
        <v>-0.23075205163296297</v>
      </c>
      <c r="H71">
        <v>0.31205730733334874</v>
      </c>
      <c r="I71">
        <v>0.61175333939885013</v>
      </c>
      <c r="J71">
        <v>0.10413729296403251</v>
      </c>
      <c r="K71">
        <v>2.7329971157680592E-3</v>
      </c>
      <c r="L71">
        <v>-2.8175622040784445</v>
      </c>
      <c r="M71">
        <v>-0.10657444832989117</v>
      </c>
      <c r="O71" s="2">
        <f t="shared" si="0"/>
        <v>14.909643577920008</v>
      </c>
    </row>
    <row r="72" spans="1:15" x14ac:dyDescent="0.25">
      <c r="A72">
        <v>0.12141277441485175</v>
      </c>
      <c r="B72">
        <v>-5.7448146839637601E-2</v>
      </c>
      <c r="C72">
        <v>0.14712325228238426</v>
      </c>
      <c r="D72">
        <v>0.45489012842273113</v>
      </c>
      <c r="E72">
        <v>2.6490770463539786</v>
      </c>
      <c r="F72">
        <v>3.6192729962514388E-3</v>
      </c>
      <c r="G72">
        <v>-0.24113443719346059</v>
      </c>
      <c r="H72">
        <v>0.28465317531766277</v>
      </c>
      <c r="I72">
        <v>0.67918071066172125</v>
      </c>
      <c r="J72">
        <v>0.12290106193364142</v>
      </c>
      <c r="K72">
        <v>-8.0173364448621193E-3</v>
      </c>
      <c r="L72">
        <v>-3.0419242447870545</v>
      </c>
      <c r="M72">
        <v>-0.11329232375201706</v>
      </c>
      <c r="O72" s="2">
        <f t="shared" si="0"/>
        <v>17.146000823428061</v>
      </c>
    </row>
    <row r="73" spans="1:15" x14ac:dyDescent="0.25">
      <c r="A73">
        <v>0.15299549408990931</v>
      </c>
      <c r="B73">
        <v>-8.2893856030693991E-2</v>
      </c>
      <c r="C73">
        <v>0.16662073097862898</v>
      </c>
      <c r="D73">
        <v>0.46141312653870215</v>
      </c>
      <c r="E73">
        <v>2.8106741498103291</v>
      </c>
      <c r="F73">
        <v>1.458806155070386E-2</v>
      </c>
      <c r="G73">
        <v>-0.25361116213184054</v>
      </c>
      <c r="H73">
        <v>0.25812545360880401</v>
      </c>
      <c r="I73">
        <v>0.74716789432412645</v>
      </c>
      <c r="J73">
        <v>0.13808793417765147</v>
      </c>
      <c r="K73">
        <v>-2.0357510372172368E-2</v>
      </c>
      <c r="L73">
        <v>-3.2663845121079746</v>
      </c>
      <c r="M73">
        <v>-0.12058424774582424</v>
      </c>
      <c r="O73" s="2">
        <f t="shared" si="0"/>
        <v>19.563543823069995</v>
      </c>
    </row>
    <row r="74" spans="1:15" x14ac:dyDescent="0.25">
      <c r="A74">
        <v>0.1957813757674689</v>
      </c>
      <c r="B74">
        <v>-0.10573267439617427</v>
      </c>
      <c r="C74">
        <v>0.18634564932548348</v>
      </c>
      <c r="D74">
        <v>0.46804296697398429</v>
      </c>
      <c r="E74">
        <v>2.9700954445960455</v>
      </c>
      <c r="F74">
        <v>2.4760973840991241E-2</v>
      </c>
      <c r="G74">
        <v>-0.26512533628993917</v>
      </c>
      <c r="H74">
        <v>0.22930300067350839</v>
      </c>
      <c r="I74">
        <v>0.81860916139116435</v>
      </c>
      <c r="J74">
        <v>0.15777503850060443</v>
      </c>
      <c r="K74">
        <v>-3.1767212553692498E-2</v>
      </c>
      <c r="L74">
        <v>-3.4947906765560268</v>
      </c>
      <c r="M74">
        <v>-0.12692152534217388</v>
      </c>
      <c r="O74" s="2">
        <f t="shared" si="0"/>
        <v>22.173944055604142</v>
      </c>
    </row>
    <row r="75" spans="1:15" x14ac:dyDescent="0.25">
      <c r="A75">
        <v>0.24932951896178407</v>
      </c>
      <c r="B75">
        <v>-0.12503020538551052</v>
      </c>
      <c r="C75">
        <v>0.20547213364325104</v>
      </c>
      <c r="D75">
        <v>0.47419778272187463</v>
      </c>
      <c r="E75">
        <v>3.1250319019662225</v>
      </c>
      <c r="F75">
        <v>3.4301448363224171E-2</v>
      </c>
      <c r="G75">
        <v>-0.27757801085466233</v>
      </c>
      <c r="H75">
        <v>0.19859531103719108</v>
      </c>
      <c r="I75">
        <v>0.89193239358096865</v>
      </c>
      <c r="J75">
        <v>0.1817652302665973</v>
      </c>
      <c r="K75">
        <v>-4.2429928501094609E-2</v>
      </c>
      <c r="L75">
        <v>-3.7235933418328941</v>
      </c>
      <c r="M75">
        <v>-0.12934250837583341</v>
      </c>
      <c r="O75" s="2">
        <f t="shared" si="0"/>
        <v>24.940629875769908</v>
      </c>
    </row>
    <row r="76" spans="1:15" x14ac:dyDescent="0.25">
      <c r="A76">
        <v>0.29412931357849509</v>
      </c>
      <c r="B76">
        <v>-0.14866622857760631</v>
      </c>
      <c r="C76">
        <v>0.22600763067814403</v>
      </c>
      <c r="D76">
        <v>0.48065181278030106</v>
      </c>
      <c r="E76">
        <v>3.2821763493510558</v>
      </c>
      <c r="F76">
        <v>4.4887377584246907E-2</v>
      </c>
      <c r="G76">
        <v>-0.28883388703345692</v>
      </c>
      <c r="H76">
        <v>0.16875612046097133</v>
      </c>
      <c r="I76">
        <v>0.96610034345383911</v>
      </c>
      <c r="J76">
        <v>0.2019767734162673</v>
      </c>
      <c r="K76">
        <v>-5.4332683458136077E-2</v>
      </c>
      <c r="L76">
        <v>-3.9524708709062994</v>
      </c>
      <c r="M76">
        <v>-0.13620433424367381</v>
      </c>
      <c r="O76" s="2">
        <f t="shared" si="0"/>
        <v>27.894993559419689</v>
      </c>
    </row>
    <row r="77" spans="1:15" x14ac:dyDescent="0.25">
      <c r="A77">
        <v>0.33883329460199024</v>
      </c>
      <c r="B77">
        <v>-0.17242349342897317</v>
      </c>
      <c r="C77">
        <v>0.24671998166937792</v>
      </c>
      <c r="D77">
        <v>0.48725168518218404</v>
      </c>
      <c r="E77">
        <v>3.4392992176983839</v>
      </c>
      <c r="F77">
        <v>5.5463238786686832E-2</v>
      </c>
      <c r="G77">
        <v>-0.30068751258988108</v>
      </c>
      <c r="H77">
        <v>0.1389669523879512</v>
      </c>
      <c r="I77">
        <v>1.0402967660640627</v>
      </c>
      <c r="J77">
        <v>0.22222187948682964</v>
      </c>
      <c r="K77">
        <v>-6.6211108548207817E-2</v>
      </c>
      <c r="L77">
        <v>-4.1813861336161633</v>
      </c>
      <c r="M77">
        <v>-0.14258258585809283</v>
      </c>
      <c r="O77" s="2">
        <f t="shared" si="0"/>
        <v>31.024706518774508</v>
      </c>
    </row>
    <row r="78" spans="1:15" x14ac:dyDescent="0.25">
      <c r="A78">
        <v>0.38532224189782366</v>
      </c>
      <c r="B78">
        <v>-0.19613882585395051</v>
      </c>
      <c r="C78">
        <v>0.26740656995169321</v>
      </c>
      <c r="D78">
        <v>0.4932108131558493</v>
      </c>
      <c r="E78">
        <v>3.5964286040934605</v>
      </c>
      <c r="F78">
        <v>6.6698347403025521E-2</v>
      </c>
      <c r="G78">
        <v>-0.31430604738722417</v>
      </c>
      <c r="H78">
        <v>0.10830145634068</v>
      </c>
      <c r="I78">
        <v>1.1161155767120388</v>
      </c>
      <c r="J78">
        <v>0.24301293490165243</v>
      </c>
      <c r="K78">
        <v>-7.8854173840151434E-2</v>
      </c>
      <c r="L78">
        <v>-4.4122147532838722</v>
      </c>
      <c r="M78">
        <v>-0.14659625418407365</v>
      </c>
      <c r="O78" s="2">
        <f t="shared" si="0"/>
        <v>34.351088458410779</v>
      </c>
    </row>
    <row r="79" spans="1:15" x14ac:dyDescent="0.25">
      <c r="A79">
        <v>0.43194432226727192</v>
      </c>
      <c r="B79">
        <v>-0.22081453719121008</v>
      </c>
      <c r="C79">
        <v>0.28910635358731218</v>
      </c>
      <c r="D79">
        <v>0.49978071752432957</v>
      </c>
      <c r="E79">
        <v>3.7512530460023354</v>
      </c>
      <c r="F79">
        <v>7.7677157517620096E-2</v>
      </c>
      <c r="G79">
        <v>-0.32649912434195189</v>
      </c>
      <c r="H79">
        <v>7.754557312992727E-2</v>
      </c>
      <c r="I79">
        <v>1.1930671548654697</v>
      </c>
      <c r="J79">
        <v>0.26381604271982639</v>
      </c>
      <c r="K79">
        <v>-9.1201321838777674E-2</v>
      </c>
      <c r="L79">
        <v>-4.6416391142555025</v>
      </c>
      <c r="M79">
        <v>-0.15301547981658584</v>
      </c>
      <c r="O79" s="2">
        <f t="shared" si="0"/>
        <v>37.8287995822879</v>
      </c>
    </row>
    <row r="80" spans="1:15" x14ac:dyDescent="0.25">
      <c r="A80">
        <v>0.47900198473877081</v>
      </c>
      <c r="B80">
        <v>-0.2448042653456283</v>
      </c>
      <c r="C80">
        <v>0.31012557532350638</v>
      </c>
      <c r="D80">
        <v>0.50569087850174665</v>
      </c>
      <c r="E80">
        <v>3.9060854921867265</v>
      </c>
      <c r="F80">
        <v>8.9018985108989424E-2</v>
      </c>
      <c r="G80">
        <v>-0.34019009092760849</v>
      </c>
      <c r="H80">
        <v>4.6647533656330675E-2</v>
      </c>
      <c r="I80">
        <v>1.2696484095232414</v>
      </c>
      <c r="J80">
        <v>0.28472021366603339</v>
      </c>
      <c r="K80">
        <v>-0.10397126079534331</v>
      </c>
      <c r="L80">
        <v>-4.8709736371334973</v>
      </c>
      <c r="M80">
        <v>-0.15701863394684373</v>
      </c>
      <c r="O80" s="2">
        <f t="shared" si="0"/>
        <v>41.479528441130071</v>
      </c>
    </row>
    <row r="81" spans="1:15" x14ac:dyDescent="0.25">
      <c r="A81">
        <v>0.52659636128923892</v>
      </c>
      <c r="B81">
        <v>-0.26960714839134287</v>
      </c>
      <c r="C81">
        <v>0.33179381678305714</v>
      </c>
      <c r="D81">
        <v>0.51203706414241257</v>
      </c>
      <c r="E81">
        <v>4.0632485461536589</v>
      </c>
      <c r="F81">
        <v>0.10020744222283831</v>
      </c>
      <c r="G81">
        <v>-0.35138225694878861</v>
      </c>
      <c r="H81">
        <v>1.5289977154112511E-2</v>
      </c>
      <c r="I81">
        <v>1.3477733097255375</v>
      </c>
      <c r="J81">
        <v>0.30578796632726091</v>
      </c>
      <c r="K81">
        <v>-0.11658204410721371</v>
      </c>
      <c r="L81">
        <v>-5.1038198226734952</v>
      </c>
      <c r="M81">
        <v>-0.16446701049569631</v>
      </c>
      <c r="O81" s="2">
        <f t="shared" si="0"/>
        <v>45.365611114917904</v>
      </c>
    </row>
    <row r="82" spans="1:15" x14ac:dyDescent="0.25">
      <c r="A82">
        <v>0.57500340793101634</v>
      </c>
      <c r="B82">
        <v>-0.29424092730221096</v>
      </c>
      <c r="C82">
        <v>0.35346783770975576</v>
      </c>
      <c r="D82">
        <v>0.51796622408267767</v>
      </c>
      <c r="E82">
        <v>4.2180795061103149</v>
      </c>
      <c r="F82">
        <v>0.11184549975132976</v>
      </c>
      <c r="G82">
        <v>-0.36534024314444236</v>
      </c>
      <c r="H82">
        <v>-1.6342234030886971E-2</v>
      </c>
      <c r="I82">
        <v>1.4263472759167104</v>
      </c>
      <c r="J82">
        <v>0.32713702348969365</v>
      </c>
      <c r="K82">
        <v>-0.12969383230770962</v>
      </c>
      <c r="L82">
        <v>-5.3351575406029932</v>
      </c>
      <c r="M82">
        <v>-0.16852165283976323</v>
      </c>
      <c r="O82" s="2">
        <f t="shared" si="0"/>
        <v>49.399491065894239</v>
      </c>
    </row>
    <row r="83" spans="1:15" x14ac:dyDescent="0.25">
      <c r="A83">
        <v>0.63326423240495933</v>
      </c>
      <c r="B83">
        <v>-0.315623764631079</v>
      </c>
      <c r="C83">
        <v>0.37471449909656629</v>
      </c>
      <c r="D83">
        <v>0.52398322737940484</v>
      </c>
      <c r="E83">
        <v>4.3707361436241197</v>
      </c>
      <c r="F83">
        <v>0.12239145107854721</v>
      </c>
      <c r="G83">
        <v>-0.3780686589498527</v>
      </c>
      <c r="H83">
        <v>-4.9535004730916432E-2</v>
      </c>
      <c r="I83">
        <v>1.5063826139791208</v>
      </c>
      <c r="J83">
        <v>0.35254142651482101</v>
      </c>
      <c r="K83">
        <v>-0.14153329951849977</v>
      </c>
      <c r="L83">
        <v>-5.5684379606081569</v>
      </c>
      <c r="M83">
        <v>-0.17157016057254454</v>
      </c>
      <c r="O83" s="2">
        <f t="shared" si="0"/>
        <v>53.629758412425737</v>
      </c>
    </row>
    <row r="84" spans="1:15" x14ac:dyDescent="0.25">
      <c r="A84">
        <v>0.68171168171892682</v>
      </c>
      <c r="B84">
        <v>-0.34083824127095563</v>
      </c>
      <c r="C84">
        <v>0.39688169073693691</v>
      </c>
      <c r="D84">
        <v>0.53025596252569573</v>
      </c>
      <c r="E84">
        <v>4.5244537872749433</v>
      </c>
      <c r="F84">
        <v>0.13373998665494088</v>
      </c>
      <c r="G84">
        <v>-0.38936947265348615</v>
      </c>
      <c r="H84">
        <v>-8.1241376372620744E-2</v>
      </c>
      <c r="I84">
        <v>1.5856511801961102</v>
      </c>
      <c r="J84">
        <v>0.37377885247312181</v>
      </c>
      <c r="K84">
        <v>-0.15433439332730192</v>
      </c>
      <c r="L84">
        <v>-5.7990430009635006</v>
      </c>
      <c r="M84">
        <v>-0.17900276582782892</v>
      </c>
      <c r="O84" s="2">
        <f t="shared" si="0"/>
        <v>58.005126308602321</v>
      </c>
    </row>
    <row r="85" spans="1:15" x14ac:dyDescent="0.25">
      <c r="A85">
        <v>0.73127956853634746</v>
      </c>
      <c r="B85">
        <v>-0.36585763141426864</v>
      </c>
      <c r="C85">
        <v>0.41886734017084498</v>
      </c>
      <c r="D85">
        <v>0.53608276258347476</v>
      </c>
      <c r="E85">
        <v>4.6804533101467936</v>
      </c>
      <c r="F85">
        <v>0.14563098265162067</v>
      </c>
      <c r="G85">
        <v>-0.4029605131873627</v>
      </c>
      <c r="H85">
        <v>-0.11354151005905222</v>
      </c>
      <c r="I85">
        <v>1.6658081631784043</v>
      </c>
      <c r="J85">
        <v>0.39548267516519287</v>
      </c>
      <c r="K85">
        <v>-0.16774892380638515</v>
      </c>
      <c r="L85">
        <v>-6.0330932287029544</v>
      </c>
      <c r="M85">
        <v>-0.18359772773696742</v>
      </c>
      <c r="O85" s="2">
        <f t="shared" si="0"/>
        <v>62.625961728248008</v>
      </c>
    </row>
    <row r="86" spans="1:15" x14ac:dyDescent="0.25">
      <c r="A86">
        <v>0.78044695754021509</v>
      </c>
      <c r="B86">
        <v>-0.39052332273602863</v>
      </c>
      <c r="C86">
        <v>0.44052028663873577</v>
      </c>
      <c r="D86">
        <v>0.5416712708405772</v>
      </c>
      <c r="E86">
        <v>4.8330304879678074</v>
      </c>
      <c r="F86">
        <v>0.15739589519230954</v>
      </c>
      <c r="G86">
        <v>-0.41579543241609318</v>
      </c>
      <c r="H86">
        <v>-0.14550630967677258</v>
      </c>
      <c r="I86">
        <v>1.745087627904655</v>
      </c>
      <c r="J86">
        <v>0.41687772201722562</v>
      </c>
      <c r="K86">
        <v>-0.18103624540544325</v>
      </c>
      <c r="L86">
        <v>-6.262861382569846</v>
      </c>
      <c r="M86">
        <v>-0.18860900439212741</v>
      </c>
      <c r="O86" s="2">
        <f t="shared" si="0"/>
        <v>67.336984941105598</v>
      </c>
    </row>
    <row r="87" spans="1:15" x14ac:dyDescent="0.25">
      <c r="A87">
        <v>0.83029920194547102</v>
      </c>
      <c r="B87">
        <v>-0.41567991074406618</v>
      </c>
      <c r="C87">
        <v>0.46267225279958696</v>
      </c>
      <c r="D87">
        <v>0.54747358740023322</v>
      </c>
      <c r="E87">
        <v>4.9878815407342962</v>
      </c>
      <c r="F87">
        <v>0.16934025067650404</v>
      </c>
      <c r="G87">
        <v>-0.42942268884411938</v>
      </c>
      <c r="H87">
        <v>-0.17792271507636781</v>
      </c>
      <c r="I87">
        <v>1.8256258328918531</v>
      </c>
      <c r="J87">
        <v>0.43863810247498836</v>
      </c>
      <c r="K87">
        <v>-0.19451421271683672</v>
      </c>
      <c r="L87">
        <v>-6.4961645619144326</v>
      </c>
      <c r="M87">
        <v>-0.19319870920341445</v>
      </c>
      <c r="O87" s="2">
        <f t="shared" si="0"/>
        <v>72.300306820814967</v>
      </c>
    </row>
    <row r="88" spans="1:15" x14ac:dyDescent="0.25">
      <c r="A88">
        <v>0.89038539536394612</v>
      </c>
      <c r="B88">
        <v>-0.4376015133755542</v>
      </c>
      <c r="C88">
        <v>0.48438632219115241</v>
      </c>
      <c r="D88">
        <v>0.55319342147477069</v>
      </c>
      <c r="E88">
        <v>5.1394313799900839</v>
      </c>
      <c r="F88">
        <v>0.18025592746552455</v>
      </c>
      <c r="G88">
        <v>-0.44125884139844629</v>
      </c>
      <c r="H88">
        <v>-0.21206597420735684</v>
      </c>
      <c r="I88">
        <v>1.9079781590178391</v>
      </c>
      <c r="J88">
        <v>0.46447682364024834</v>
      </c>
      <c r="K88">
        <v>-0.20680762573780728</v>
      </c>
      <c r="L88">
        <v>-6.7306256613033604</v>
      </c>
      <c r="M88">
        <v>-0.19726059655895883</v>
      </c>
      <c r="O88" s="2">
        <f t="shared" si="0"/>
        <v>77.449985063618314</v>
      </c>
    </row>
    <row r="89" spans="1:15" x14ac:dyDescent="0.25">
      <c r="A89">
        <v>0.94033345336241136</v>
      </c>
      <c r="B89">
        <v>-0.46263685972431456</v>
      </c>
      <c r="C89">
        <v>0.50636143439565717</v>
      </c>
      <c r="D89">
        <v>0.55884989569096888</v>
      </c>
      <c r="E89">
        <v>5.2943040117941127</v>
      </c>
      <c r="F89">
        <v>0.19221035096830208</v>
      </c>
      <c r="G89">
        <v>-0.45428834844884902</v>
      </c>
      <c r="H89">
        <v>-0.24453240211014815</v>
      </c>
      <c r="I89">
        <v>1.9884878912676722</v>
      </c>
      <c r="J89">
        <v>0.48620364117711812</v>
      </c>
      <c r="K89">
        <v>-0.22030992291617044</v>
      </c>
      <c r="L89">
        <v>-6.9638911070115093</v>
      </c>
      <c r="M89">
        <v>-0.20233387562365707</v>
      </c>
      <c r="O89" s="2">
        <f t="shared" si="0"/>
        <v>82.775481647268066</v>
      </c>
    </row>
    <row r="90" spans="1:15" x14ac:dyDescent="0.25">
      <c r="A90">
        <v>0.99085022653653898</v>
      </c>
      <c r="B90">
        <v>-0.48794660180251392</v>
      </c>
      <c r="C90">
        <v>0.52866918005404062</v>
      </c>
      <c r="D90">
        <v>0.56445740291091773</v>
      </c>
      <c r="E90">
        <v>5.4468797033873901</v>
      </c>
      <c r="F90">
        <v>0.2042714934461097</v>
      </c>
      <c r="G90">
        <v>-0.46739028728758003</v>
      </c>
      <c r="H90">
        <v>-0.27723137343926163</v>
      </c>
      <c r="I90">
        <v>2.0697600675272949</v>
      </c>
      <c r="J90">
        <v>0.50804357424537006</v>
      </c>
      <c r="K90">
        <v>-0.23393909375915492</v>
      </c>
      <c r="L90">
        <v>-7.1956624559298756</v>
      </c>
      <c r="M90">
        <v>-0.20739664049261486</v>
      </c>
      <c r="O90" s="2">
        <f t="shared" si="0"/>
        <v>88.240829636773938</v>
      </c>
    </row>
    <row r="91" spans="1:15" x14ac:dyDescent="0.25">
      <c r="A91">
        <v>1.0411784557160562</v>
      </c>
      <c r="B91">
        <v>-0.51299790435672465</v>
      </c>
      <c r="C91">
        <v>0.55063375502914758</v>
      </c>
      <c r="D91">
        <v>0.56994355128553453</v>
      </c>
      <c r="E91">
        <v>5.6006254441235654</v>
      </c>
      <c r="F91">
        <v>0.21628934445498696</v>
      </c>
      <c r="G91">
        <v>-0.47985826085452687</v>
      </c>
      <c r="H91">
        <v>-0.30986409555841676</v>
      </c>
      <c r="I91">
        <v>2.150622549044678</v>
      </c>
      <c r="J91">
        <v>0.52979338662704223</v>
      </c>
      <c r="K91">
        <v>-0.24752915763680058</v>
      </c>
      <c r="L91">
        <v>-7.4281431196067009</v>
      </c>
      <c r="M91">
        <v>-0.2129482367128562</v>
      </c>
      <c r="O91" s="2">
        <f t="shared" si="0"/>
        <v>93.905104986199802</v>
      </c>
    </row>
    <row r="92" spans="1:15" x14ac:dyDescent="0.25">
      <c r="A92">
        <v>1.0915066848955666</v>
      </c>
      <c r="B92">
        <v>-0.53804920691093172</v>
      </c>
      <c r="C92">
        <v>0.57259833000424942</v>
      </c>
      <c r="D92">
        <v>0.57542969966015245</v>
      </c>
      <c r="E92">
        <v>5.7543711848597727</v>
      </c>
      <c r="F92">
        <v>0.22830719546386299</v>
      </c>
      <c r="G92">
        <v>-0.49232623442147255</v>
      </c>
      <c r="H92">
        <v>-0.34249681767756857</v>
      </c>
      <c r="I92">
        <v>2.2314850305620517</v>
      </c>
      <c r="J92">
        <v>0.55154319900871218</v>
      </c>
      <c r="K92">
        <v>-0.26111922151444472</v>
      </c>
      <c r="L92">
        <v>-7.6606237832835475</v>
      </c>
      <c r="M92">
        <v>-0.21849983293309766</v>
      </c>
      <c r="O92" s="2">
        <f t="shared" si="0"/>
        <v>99.749280594708665</v>
      </c>
    </row>
    <row r="93" spans="1:15" x14ac:dyDescent="0.25">
      <c r="A93">
        <v>1.1519730494951488</v>
      </c>
      <c r="B93">
        <v>-0.55998676574783801</v>
      </c>
      <c r="C93">
        <v>0.5943018621664018</v>
      </c>
      <c r="D93">
        <v>0.58097920789310864</v>
      </c>
      <c r="E93">
        <v>5.9047941330477549</v>
      </c>
      <c r="F93">
        <v>0.23928629975897286</v>
      </c>
      <c r="G93">
        <v>-0.50360085349232342</v>
      </c>
      <c r="H93">
        <v>-0.3768063710249262</v>
      </c>
      <c r="I93">
        <v>2.3141901059555749</v>
      </c>
      <c r="J93">
        <v>0.57740491501879843</v>
      </c>
      <c r="K93">
        <v>-0.2735004012346855</v>
      </c>
      <c r="L93">
        <v>-7.894300100641205</v>
      </c>
      <c r="M93">
        <v>-0.2230400374441846</v>
      </c>
      <c r="O93" s="2">
        <f t="shared" si="0"/>
        <v>105.78420286491806</v>
      </c>
    </row>
    <row r="94" spans="1:15" x14ac:dyDescent="0.25">
      <c r="A94">
        <v>1.2029254047713511</v>
      </c>
      <c r="B94">
        <v>-0.58461052464320484</v>
      </c>
      <c r="C94">
        <v>0.61592904592536801</v>
      </c>
      <c r="D94">
        <v>0.58592697172199371</v>
      </c>
      <c r="E94">
        <v>6.0573778289166151</v>
      </c>
      <c r="F94">
        <v>0.25171045971356143</v>
      </c>
      <c r="G94">
        <v>-0.51820068196198099</v>
      </c>
      <c r="H94">
        <v>-0.40964749861689798</v>
      </c>
      <c r="I94">
        <v>2.3950919587195738</v>
      </c>
      <c r="J94">
        <v>0.59934591121509295</v>
      </c>
      <c r="K94">
        <v>-0.28755236303561621</v>
      </c>
      <c r="L94">
        <v>-8.1259816114660346</v>
      </c>
      <c r="M94">
        <v>-0.22568673081089691</v>
      </c>
      <c r="O94" s="2">
        <f t="shared" si="0"/>
        <v>111.96388436231152</v>
      </c>
    </row>
    <row r="95" spans="1:15" x14ac:dyDescent="0.25">
      <c r="A95">
        <v>1.254318660533299</v>
      </c>
      <c r="B95">
        <v>-0.61016868008913827</v>
      </c>
      <c r="C95">
        <v>0.63838210336403267</v>
      </c>
      <c r="D95">
        <v>0.5914566025575827</v>
      </c>
      <c r="E95">
        <v>6.2122705535303808</v>
      </c>
      <c r="F95">
        <v>0.26397118117204216</v>
      </c>
      <c r="G95">
        <v>-0.53089945924476467</v>
      </c>
      <c r="H95">
        <v>-0.44289812073428469</v>
      </c>
      <c r="I95">
        <v>2.4775659297654369</v>
      </c>
      <c r="J95">
        <v>0.6214840520472924</v>
      </c>
      <c r="K95">
        <v>-0.30142083932487723</v>
      </c>
      <c r="L95">
        <v>-8.3612125185891806</v>
      </c>
      <c r="M95">
        <v>-0.23129507234280766</v>
      </c>
      <c r="O95" s="2">
        <f t="shared" si="0"/>
        <v>118.42177501602001</v>
      </c>
    </row>
    <row r="96" spans="1:15" x14ac:dyDescent="0.25">
      <c r="A96">
        <v>1.3050270608938543</v>
      </c>
      <c r="B96">
        <v>-0.63523593884879037</v>
      </c>
      <c r="C96">
        <v>0.66033614110972949</v>
      </c>
      <c r="D96">
        <v>0.59677242509061801</v>
      </c>
      <c r="E96">
        <v>6.3648894031987666</v>
      </c>
      <c r="F96">
        <v>0.27605245968701675</v>
      </c>
      <c r="G96">
        <v>-0.54280589932824408</v>
      </c>
      <c r="H96">
        <v>-0.47569713706979677</v>
      </c>
      <c r="I96">
        <v>2.5587811605503492</v>
      </c>
      <c r="J96">
        <v>0.64325685927376219</v>
      </c>
      <c r="K96">
        <v>-0.31509866990180235</v>
      </c>
      <c r="L96">
        <v>-8.5929084002347231</v>
      </c>
      <c r="M96">
        <v>-0.23732498571859884</v>
      </c>
      <c r="O96" s="2">
        <f t="shared" si="0"/>
        <v>124.96257507032256</v>
      </c>
    </row>
    <row r="97" spans="1:15" x14ac:dyDescent="0.25">
      <c r="A97">
        <v>1.3560752297632641</v>
      </c>
      <c r="B97">
        <v>-0.65973845608488191</v>
      </c>
      <c r="C97">
        <v>0.68178647091235134</v>
      </c>
      <c r="D97">
        <v>0.60157434657604747</v>
      </c>
      <c r="E97">
        <v>6.517494678105165</v>
      </c>
      <c r="F97">
        <v>0.28848668766018731</v>
      </c>
      <c r="G97">
        <v>-0.55680797842028662</v>
      </c>
      <c r="H97">
        <v>-0.50858828716496507</v>
      </c>
      <c r="I97">
        <v>2.6396545405769838</v>
      </c>
      <c r="J97">
        <v>0.66516429254916321</v>
      </c>
      <c r="K97">
        <v>-0.32917496156970183</v>
      </c>
      <c r="L97">
        <v>-8.8245521774231186</v>
      </c>
      <c r="M97">
        <v>-0.24045525333871504</v>
      </c>
      <c r="O97" s="2">
        <f t="shared" si="0"/>
        <v>131.67969361026928</v>
      </c>
    </row>
    <row r="98" spans="1:15" x14ac:dyDescent="0.25">
      <c r="A98">
        <v>1.4075642991184139</v>
      </c>
      <c r="B98">
        <v>-0.68517536987153205</v>
      </c>
      <c r="C98">
        <v>0.7040626743946623</v>
      </c>
      <c r="D98">
        <v>0.60695813506817764</v>
      </c>
      <c r="E98">
        <v>6.6724089817565</v>
      </c>
      <c r="F98">
        <v>0.3007574771372501</v>
      </c>
      <c r="G98">
        <v>-0.56890900632545349</v>
      </c>
      <c r="H98">
        <v>-0.54188893178554454</v>
      </c>
      <c r="I98">
        <v>2.7221000388854697</v>
      </c>
      <c r="J98">
        <v>0.68726887046046847</v>
      </c>
      <c r="K98">
        <v>-0.34306776772593151</v>
      </c>
      <c r="L98">
        <v>-9.05974535090985</v>
      </c>
      <c r="M98">
        <v>-0.24654716912402697</v>
      </c>
      <c r="O98" s="2">
        <f t="shared" si="0"/>
        <v>138.68323666777363</v>
      </c>
    </row>
    <row r="99" spans="1:15" x14ac:dyDescent="0.25">
      <c r="A99">
        <v>1.4687506034078264</v>
      </c>
      <c r="B99">
        <v>-0.70656414339034546</v>
      </c>
      <c r="C99">
        <v>0.72525196138433712</v>
      </c>
      <c r="D99">
        <v>0.61182341641194404</v>
      </c>
      <c r="E99">
        <v>6.8216914641146902</v>
      </c>
      <c r="F99">
        <v>0.31215295839666207</v>
      </c>
      <c r="G99">
        <v>-0.58171773092139434</v>
      </c>
      <c r="H99">
        <v>-0.57645691310890779</v>
      </c>
      <c r="I99">
        <v>2.8048160127882458</v>
      </c>
      <c r="J99">
        <v>0.71328820736425647</v>
      </c>
      <c r="K99">
        <v>-0.35593517523643636</v>
      </c>
      <c r="L99">
        <v>-9.2925847817790412</v>
      </c>
      <c r="M99">
        <v>-0.24866604503501336</v>
      </c>
      <c r="O99" s="2">
        <f t="shared" si="0"/>
        <v>145.77682102608165</v>
      </c>
    </row>
    <row r="100" spans="1:15" x14ac:dyDescent="0.25">
      <c r="A100">
        <v>1.5205794412718403</v>
      </c>
      <c r="B100">
        <v>-0.7314363156534418</v>
      </c>
      <c r="C100">
        <v>0.74702445692357966</v>
      </c>
      <c r="D100">
        <v>0.61669330385647059</v>
      </c>
      <c r="E100">
        <v>6.9765921930040697</v>
      </c>
      <c r="F100">
        <v>0.32477669733192244</v>
      </c>
      <c r="G100">
        <v>-0.5959143978351189</v>
      </c>
      <c r="H100">
        <v>-0.60984969148914947</v>
      </c>
      <c r="I100">
        <v>2.8869196603384744</v>
      </c>
      <c r="J100">
        <v>0.73552741132449784</v>
      </c>
      <c r="K100">
        <v>-0.37022644248364223</v>
      </c>
      <c r="L100">
        <v>-9.5277258508086717</v>
      </c>
      <c r="M100">
        <v>-0.25185831506466183</v>
      </c>
      <c r="O100" s="2">
        <f t="shared" si="0"/>
        <v>153.14423205351807</v>
      </c>
    </row>
    <row r="101" spans="1:15" x14ac:dyDescent="0.25">
      <c r="A101">
        <v>1.5716680128134308</v>
      </c>
      <c r="B101">
        <v>-0.75651953061853439</v>
      </c>
      <c r="C101">
        <v>0.76896795743986723</v>
      </c>
      <c r="D101">
        <v>0.62183880054792229</v>
      </c>
      <c r="E101">
        <v>7.1280841516046038</v>
      </c>
      <c r="F101">
        <v>0.33692140335299336</v>
      </c>
      <c r="G101">
        <v>-0.60725930443512977</v>
      </c>
      <c r="H101">
        <v>-0.6428150020410156</v>
      </c>
      <c r="I101">
        <v>2.9684876403909066</v>
      </c>
      <c r="J101">
        <v>0.75732321339576214</v>
      </c>
      <c r="K101">
        <v>-0.3839920397598458</v>
      </c>
      <c r="L101">
        <v>-9.7586369504228614</v>
      </c>
      <c r="M101">
        <v>-0.25836654559600164</v>
      </c>
      <c r="O101" s="2">
        <f t="shared" si="0"/>
        <v>160.55618765955262</v>
      </c>
    </row>
    <row r="102" spans="1:15" x14ac:dyDescent="0.25">
      <c r="A102">
        <v>1.6235926642706537</v>
      </c>
      <c r="B102">
        <v>-0.78127046122235455</v>
      </c>
      <c r="C102">
        <v>0.79056359902276307</v>
      </c>
      <c r="D102">
        <v>0.62656284564899134</v>
      </c>
      <c r="E102">
        <v>7.2830064595315225</v>
      </c>
      <c r="F102">
        <v>0.34955521030683684</v>
      </c>
      <c r="G102">
        <v>-0.62085822197123175</v>
      </c>
      <c r="H102">
        <v>-0.67625780292445337</v>
      </c>
      <c r="I102">
        <v>3.05056281520377</v>
      </c>
      <c r="J102">
        <v>0.77952885443510977</v>
      </c>
      <c r="K102">
        <v>-0.39830763687402143</v>
      </c>
      <c r="L102">
        <v>-9.993740285816056</v>
      </c>
      <c r="M102">
        <v>-0.2620423898790617</v>
      </c>
      <c r="O102" s="2">
        <f t="shared" si="0"/>
        <v>168.28692877156502</v>
      </c>
    </row>
    <row r="103" spans="1:15" x14ac:dyDescent="0.25">
      <c r="A103">
        <v>1.6750210043211089</v>
      </c>
      <c r="B103">
        <v>-0.80578893466389045</v>
      </c>
      <c r="C103">
        <v>0.81200339159597978</v>
      </c>
      <c r="D103">
        <v>0.63119444129283819</v>
      </c>
      <c r="E103">
        <v>7.4344848433700976</v>
      </c>
      <c r="F103">
        <v>0.36205286578610646</v>
      </c>
      <c r="G103">
        <v>-0.63429876757980863</v>
      </c>
      <c r="H103">
        <v>-0.70931524723598194</v>
      </c>
      <c r="I103">
        <v>3.1317889444979423</v>
      </c>
      <c r="J103">
        <v>0.80145928255531085</v>
      </c>
      <c r="K103">
        <v>-0.41247169524120231</v>
      </c>
      <c r="L103">
        <v>-10.224599280973147</v>
      </c>
      <c r="M103">
        <v>-0.2656509746547282</v>
      </c>
      <c r="O103" s="2">
        <f t="shared" si="0"/>
        <v>176.05443008392473</v>
      </c>
    </row>
    <row r="104" spans="1:15" x14ac:dyDescent="0.25">
      <c r="A104">
        <v>1.7266058872694803</v>
      </c>
      <c r="B104">
        <v>-0.83110460679127307</v>
      </c>
      <c r="C104">
        <v>0.83410274112195237</v>
      </c>
      <c r="D104">
        <v>0.63643238744151187</v>
      </c>
      <c r="E104">
        <v>7.5894207260589557</v>
      </c>
      <c r="F104">
        <v>0.37433372328175302</v>
      </c>
      <c r="G104">
        <v>-0.64580204610734671</v>
      </c>
      <c r="H104">
        <v>-0.74266591435976481</v>
      </c>
      <c r="I104">
        <v>3.2142059700690857</v>
      </c>
      <c r="J104">
        <v>0.82353029754572549</v>
      </c>
      <c r="K104">
        <v>-0.42638883126440291</v>
      </c>
      <c r="L104">
        <v>-10.459754720823446</v>
      </c>
      <c r="M104">
        <v>-0.27222646469346123</v>
      </c>
      <c r="O104" s="2">
        <f t="shared" si="0"/>
        <v>184.15242763284084</v>
      </c>
    </row>
    <row r="105" spans="1:15" x14ac:dyDescent="0.25">
      <c r="A105">
        <v>1.7788148963145296</v>
      </c>
      <c r="B105">
        <v>-0.85599273525980979</v>
      </c>
      <c r="C105">
        <v>0.85586469943178578</v>
      </c>
      <c r="D105">
        <v>0.64113194904445492</v>
      </c>
      <c r="E105">
        <v>7.7431945638804827</v>
      </c>
      <c r="F105">
        <v>0.38702088972310966</v>
      </c>
      <c r="G105">
        <v>-0.65943717953760239</v>
      </c>
      <c r="H105">
        <v>-0.77622498695636077</v>
      </c>
      <c r="I105">
        <v>3.296662366886836</v>
      </c>
      <c r="J105">
        <v>0.8457924963507617</v>
      </c>
      <c r="K105">
        <v>-0.44076786521088734</v>
      </c>
      <c r="L105">
        <v>-10.694111007821723</v>
      </c>
      <c r="M105">
        <v>-0.27589705187865837</v>
      </c>
      <c r="O105" s="2">
        <f t="shared" si="0"/>
        <v>192.40244385529209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DDEA-D95F-4BFE-918F-B9FC5CAFC8A9}">
  <sheetPr>
    <tabColor theme="0" tint="-0.499984740745262"/>
  </sheetPr>
  <dimension ref="A1:K53"/>
  <sheetViews>
    <sheetView topLeftCell="A16" zoomScale="80" zoomScaleNormal="80" workbookViewId="0">
      <selection activeCell="H32" sqref="H32:H53"/>
    </sheetView>
  </sheetViews>
  <sheetFormatPr defaultRowHeight="15" x14ac:dyDescent="0.25"/>
  <cols>
    <col min="2" max="2" width="14" customWidth="1"/>
    <col min="3" max="3" width="12" customWidth="1"/>
    <col min="4" max="4" width="7.42578125" customWidth="1"/>
    <col min="5" max="5" width="14.85546875" bestFit="1" customWidth="1"/>
    <col min="10" max="10" width="12.42578125" customWidth="1"/>
    <col min="11" max="11" width="12.140625" customWidth="1"/>
  </cols>
  <sheetData>
    <row r="1" spans="1:11" x14ac:dyDescent="0.25">
      <c r="A1" s="6" t="s">
        <v>22</v>
      </c>
    </row>
    <row r="3" spans="1:11" x14ac:dyDescent="0.25">
      <c r="E3" s="7" t="s">
        <v>23</v>
      </c>
      <c r="F3" s="5">
        <v>5</v>
      </c>
      <c r="H3" s="8" t="s">
        <v>0</v>
      </c>
      <c r="I3" s="8" t="s">
        <v>24</v>
      </c>
      <c r="J3" s="8" t="s">
        <v>25</v>
      </c>
      <c r="K3" s="8" t="s">
        <v>26</v>
      </c>
    </row>
    <row r="4" spans="1:11" x14ac:dyDescent="0.25">
      <c r="E4" s="7" t="s">
        <v>27</v>
      </c>
      <c r="F4" s="5">
        <v>30</v>
      </c>
      <c r="H4" s="7">
        <v>1</v>
      </c>
      <c r="I4" s="9">
        <v>0.29967317084861328</v>
      </c>
      <c r="J4" s="7">
        <f>$F$9</f>
        <v>22.919999999999998</v>
      </c>
      <c r="K4" s="7">
        <f>$F$10</f>
        <v>15.54</v>
      </c>
    </row>
    <row r="5" spans="1:11" x14ac:dyDescent="0.25">
      <c r="E5" s="7" t="s">
        <v>28</v>
      </c>
      <c r="F5" s="5" t="s">
        <v>29</v>
      </c>
      <c r="H5" s="7">
        <v>2</v>
      </c>
      <c r="I5" s="9">
        <v>0.29967317084861328</v>
      </c>
      <c r="J5" s="7">
        <f t="shared" ref="J5:J53" si="0">$F$9</f>
        <v>22.919999999999998</v>
      </c>
      <c r="K5" s="7">
        <f t="shared" ref="K5:K53" si="1">$F$10</f>
        <v>15.54</v>
      </c>
    </row>
    <row r="6" spans="1:11" x14ac:dyDescent="0.25">
      <c r="H6" s="7">
        <v>3</v>
      </c>
      <c r="I6" s="9">
        <v>0.34853768662753037</v>
      </c>
      <c r="J6" s="7">
        <f t="shared" si="0"/>
        <v>22.919999999999998</v>
      </c>
      <c r="K6" s="7">
        <f t="shared" si="1"/>
        <v>15.54</v>
      </c>
    </row>
    <row r="7" spans="1:11" x14ac:dyDescent="0.25">
      <c r="H7" s="7">
        <v>4</v>
      </c>
      <c r="I7" s="9">
        <v>0.32205514618240716</v>
      </c>
      <c r="J7" s="7">
        <f t="shared" si="0"/>
        <v>22.919999999999998</v>
      </c>
      <c r="K7" s="7">
        <f t="shared" si="1"/>
        <v>15.54</v>
      </c>
    </row>
    <row r="8" spans="1:11" x14ac:dyDescent="0.25">
      <c r="B8" s="10" t="s">
        <v>30</v>
      </c>
      <c r="C8" s="10"/>
      <c r="E8" s="11" t="s">
        <v>31</v>
      </c>
      <c r="H8" s="7">
        <v>5</v>
      </c>
      <c r="I8" s="9">
        <v>0.34238602364484183</v>
      </c>
      <c r="J8" s="7">
        <f t="shared" si="0"/>
        <v>22.919999999999998</v>
      </c>
      <c r="K8" s="7">
        <f t="shared" si="1"/>
        <v>15.54</v>
      </c>
    </row>
    <row r="9" spans="1:11" x14ac:dyDescent="0.25">
      <c r="B9" s="12" t="s">
        <v>32</v>
      </c>
      <c r="C9" s="4">
        <v>2.59</v>
      </c>
      <c r="E9" s="7" t="s">
        <v>33</v>
      </c>
      <c r="F9" s="4">
        <f>(((5*30)/(30-5))*C10)</f>
        <v>22.919999999999998</v>
      </c>
      <c r="H9" s="7">
        <v>6</v>
      </c>
      <c r="I9" s="9">
        <v>0.33314461926558797</v>
      </c>
      <c r="J9" s="7">
        <f t="shared" si="0"/>
        <v>22.919999999999998</v>
      </c>
      <c r="K9" s="7">
        <f t="shared" si="1"/>
        <v>15.54</v>
      </c>
    </row>
    <row r="10" spans="1:11" x14ac:dyDescent="0.25">
      <c r="B10" s="12" t="s">
        <v>34</v>
      </c>
      <c r="C10" s="4">
        <v>3.82</v>
      </c>
      <c r="E10" s="7" t="s">
        <v>26</v>
      </c>
      <c r="F10" s="4">
        <f>(((5*30)/(30-5))*C9)</f>
        <v>15.54</v>
      </c>
      <c r="H10" s="7">
        <v>7</v>
      </c>
      <c r="I10" s="9">
        <v>0.33567142786015924</v>
      </c>
      <c r="J10" s="7">
        <f t="shared" si="0"/>
        <v>22.919999999999998</v>
      </c>
      <c r="K10" s="7">
        <f t="shared" si="1"/>
        <v>15.54</v>
      </c>
    </row>
    <row r="11" spans="1:11" x14ac:dyDescent="0.25">
      <c r="H11" s="7">
        <v>8</v>
      </c>
      <c r="I11" s="9">
        <v>0.3474389461893721</v>
      </c>
      <c r="J11" s="7">
        <f t="shared" si="0"/>
        <v>22.919999999999998</v>
      </c>
      <c r="K11" s="7">
        <f t="shared" si="1"/>
        <v>15.54</v>
      </c>
    </row>
    <row r="12" spans="1:11" x14ac:dyDescent="0.25">
      <c r="H12" s="7">
        <v>9</v>
      </c>
      <c r="I12" s="9">
        <v>0.36540494183636946</v>
      </c>
      <c r="J12" s="7">
        <f t="shared" si="0"/>
        <v>22.919999999999998</v>
      </c>
      <c r="K12" s="7">
        <f t="shared" si="1"/>
        <v>15.54</v>
      </c>
    </row>
    <row r="13" spans="1:11" x14ac:dyDescent="0.25">
      <c r="H13" s="7">
        <v>10</v>
      </c>
      <c r="I13" s="9">
        <v>0.41169024022309991</v>
      </c>
      <c r="J13" s="7">
        <f t="shared" si="0"/>
        <v>22.919999999999998</v>
      </c>
      <c r="K13" s="7">
        <f t="shared" si="1"/>
        <v>15.54</v>
      </c>
    </row>
    <row r="14" spans="1:11" x14ac:dyDescent="0.25">
      <c r="H14" s="7">
        <v>11</v>
      </c>
      <c r="I14" s="9">
        <v>0.47604397739962834</v>
      </c>
      <c r="J14" s="7">
        <f t="shared" si="0"/>
        <v>22.919999999999998</v>
      </c>
      <c r="K14" s="7">
        <f t="shared" si="1"/>
        <v>15.54</v>
      </c>
    </row>
    <row r="15" spans="1:11" x14ac:dyDescent="0.25">
      <c r="H15" s="7">
        <v>12</v>
      </c>
      <c r="I15" s="9">
        <v>0.57117021982183069</v>
      </c>
      <c r="J15" s="7">
        <f t="shared" si="0"/>
        <v>22.919999999999998</v>
      </c>
      <c r="K15" s="7">
        <f t="shared" si="1"/>
        <v>15.54</v>
      </c>
    </row>
    <row r="16" spans="1:11" x14ac:dyDescent="0.25">
      <c r="H16" s="7">
        <v>13</v>
      </c>
      <c r="I16" s="9">
        <v>0.69932779027446867</v>
      </c>
      <c r="J16" s="7">
        <f t="shared" si="0"/>
        <v>22.919999999999998</v>
      </c>
      <c r="K16" s="7">
        <f t="shared" si="1"/>
        <v>15.54</v>
      </c>
    </row>
    <row r="17" spans="8:11" x14ac:dyDescent="0.25">
      <c r="H17" s="7">
        <v>14</v>
      </c>
      <c r="I17" s="9">
        <v>0.86626090839292447</v>
      </c>
      <c r="J17" s="7">
        <f t="shared" si="0"/>
        <v>22.919999999999998</v>
      </c>
      <c r="K17" s="7">
        <f t="shared" si="1"/>
        <v>15.54</v>
      </c>
    </row>
    <row r="18" spans="8:11" x14ac:dyDescent="0.25">
      <c r="H18" s="7">
        <v>15</v>
      </c>
      <c r="I18" s="9">
        <v>1.0719765101248564</v>
      </c>
      <c r="J18" s="7">
        <f t="shared" si="0"/>
        <v>22.919999999999998</v>
      </c>
      <c r="K18" s="7">
        <f t="shared" si="1"/>
        <v>15.54</v>
      </c>
    </row>
    <row r="19" spans="8:11" x14ac:dyDescent="0.25">
      <c r="H19" s="7">
        <v>16</v>
      </c>
      <c r="I19" s="9">
        <v>1.3271497713421734</v>
      </c>
      <c r="J19" s="7">
        <f t="shared" si="0"/>
        <v>22.919999999999998</v>
      </c>
      <c r="K19" s="7">
        <f t="shared" si="1"/>
        <v>15.54</v>
      </c>
    </row>
    <row r="20" spans="8:11" x14ac:dyDescent="0.25">
      <c r="H20" s="7">
        <v>17</v>
      </c>
      <c r="I20" s="9">
        <v>1.6256700297900231</v>
      </c>
      <c r="J20" s="7">
        <f t="shared" si="0"/>
        <v>22.919999999999998</v>
      </c>
      <c r="K20" s="7">
        <f t="shared" si="1"/>
        <v>15.54</v>
      </c>
    </row>
    <row r="21" spans="8:11" x14ac:dyDescent="0.25">
      <c r="H21" s="7">
        <v>18</v>
      </c>
      <c r="I21" s="9">
        <v>1.9721693853734761</v>
      </c>
      <c r="J21" s="7">
        <f t="shared" si="0"/>
        <v>22.919999999999998</v>
      </c>
      <c r="K21" s="7">
        <f t="shared" si="1"/>
        <v>15.54</v>
      </c>
    </row>
    <row r="22" spans="8:11" x14ac:dyDescent="0.25">
      <c r="H22" s="7">
        <v>19</v>
      </c>
      <c r="I22" s="9">
        <v>2.3751735388441051</v>
      </c>
      <c r="J22" s="7">
        <f t="shared" si="0"/>
        <v>22.919999999999998</v>
      </c>
      <c r="K22" s="7">
        <f t="shared" si="1"/>
        <v>15.54</v>
      </c>
    </row>
    <row r="23" spans="8:11" x14ac:dyDescent="0.25">
      <c r="H23" s="7">
        <v>20</v>
      </c>
      <c r="I23" s="9">
        <v>2.8295922468226378</v>
      </c>
      <c r="J23" s="7">
        <f t="shared" si="0"/>
        <v>22.919999999999998</v>
      </c>
      <c r="K23" s="7">
        <f t="shared" si="1"/>
        <v>15.54</v>
      </c>
    </row>
    <row r="24" spans="8:11" x14ac:dyDescent="0.25">
      <c r="H24" s="7">
        <v>21</v>
      </c>
      <c r="I24" s="9">
        <v>3.3423005943280613</v>
      </c>
      <c r="J24" s="7">
        <f t="shared" si="0"/>
        <v>22.919999999999998</v>
      </c>
      <c r="K24" s="7">
        <f t="shared" si="1"/>
        <v>15.54</v>
      </c>
    </row>
    <row r="25" spans="8:11" x14ac:dyDescent="0.25">
      <c r="H25" s="7">
        <v>22</v>
      </c>
      <c r="I25" s="9">
        <v>3.9031183873389916</v>
      </c>
      <c r="J25" s="7">
        <f t="shared" si="0"/>
        <v>22.919999999999998</v>
      </c>
      <c r="K25" s="7">
        <f t="shared" si="1"/>
        <v>15.54</v>
      </c>
    </row>
    <row r="26" spans="8:11" x14ac:dyDescent="0.25">
      <c r="H26" s="7">
        <v>23</v>
      </c>
      <c r="I26" s="9">
        <v>4.5290902341661283</v>
      </c>
      <c r="J26" s="7">
        <f t="shared" si="0"/>
        <v>22.919999999999998</v>
      </c>
      <c r="K26" s="7">
        <f t="shared" si="1"/>
        <v>15.54</v>
      </c>
    </row>
    <row r="27" spans="8:11" x14ac:dyDescent="0.25">
      <c r="H27" s="7">
        <v>24</v>
      </c>
      <c r="I27" s="9">
        <v>5.2134350131250748</v>
      </c>
      <c r="J27" s="7">
        <f t="shared" si="0"/>
        <v>22.919999999999998</v>
      </c>
      <c r="K27" s="7">
        <f t="shared" si="1"/>
        <v>15.54</v>
      </c>
    </row>
    <row r="28" spans="8:11" x14ac:dyDescent="0.25">
      <c r="H28" s="7">
        <v>25</v>
      </c>
      <c r="I28" s="9">
        <v>5.9491178462788712</v>
      </c>
      <c r="J28" s="7">
        <f t="shared" si="0"/>
        <v>22.919999999999998</v>
      </c>
      <c r="K28" s="7">
        <f t="shared" si="1"/>
        <v>15.54</v>
      </c>
    </row>
    <row r="29" spans="8:11" x14ac:dyDescent="0.25">
      <c r="H29" s="7">
        <v>26</v>
      </c>
      <c r="I29" s="9">
        <v>6.7504605020672006</v>
      </c>
      <c r="J29" s="7">
        <f t="shared" si="0"/>
        <v>22.919999999999998</v>
      </c>
      <c r="K29" s="7">
        <f t="shared" si="1"/>
        <v>15.54</v>
      </c>
    </row>
    <row r="30" spans="8:11" x14ac:dyDescent="0.25">
      <c r="H30" s="7">
        <v>27</v>
      </c>
      <c r="I30" s="9">
        <v>7.6133824407945516</v>
      </c>
      <c r="J30" s="7">
        <f t="shared" si="0"/>
        <v>22.919999999999998</v>
      </c>
      <c r="K30" s="7">
        <f t="shared" si="1"/>
        <v>15.54</v>
      </c>
    </row>
    <row r="31" spans="8:11" x14ac:dyDescent="0.25">
      <c r="H31" s="7">
        <v>28</v>
      </c>
      <c r="I31" s="9">
        <v>8.5308316789730494</v>
      </c>
      <c r="J31" s="7">
        <f t="shared" si="0"/>
        <v>22.919999999999998</v>
      </c>
      <c r="K31" s="7">
        <f t="shared" si="1"/>
        <v>15.54</v>
      </c>
    </row>
    <row r="32" spans="8:11" x14ac:dyDescent="0.25">
      <c r="H32" s="7">
        <v>29</v>
      </c>
      <c r="I32" s="9">
        <v>9.5085935999522064</v>
      </c>
      <c r="J32" s="7">
        <f t="shared" si="0"/>
        <v>22.919999999999998</v>
      </c>
      <c r="K32" s="7">
        <f t="shared" si="1"/>
        <v>15.54</v>
      </c>
    </row>
    <row r="33" spans="8:11" x14ac:dyDescent="0.25">
      <c r="H33" s="7">
        <v>30</v>
      </c>
      <c r="I33" s="9">
        <v>10.556966095265221</v>
      </c>
      <c r="J33" s="7">
        <f t="shared" si="0"/>
        <v>22.919999999999998</v>
      </c>
      <c r="K33" s="7">
        <f t="shared" si="1"/>
        <v>15.54</v>
      </c>
    </row>
    <row r="34" spans="8:11" x14ac:dyDescent="0.25">
      <c r="H34" s="7">
        <v>31</v>
      </c>
      <c r="I34">
        <v>11.650089903010432</v>
      </c>
      <c r="J34" s="7">
        <f t="shared" si="0"/>
        <v>22.919999999999998</v>
      </c>
      <c r="K34" s="7">
        <f t="shared" si="1"/>
        <v>15.54</v>
      </c>
    </row>
    <row r="35" spans="8:11" x14ac:dyDescent="0.25">
      <c r="H35" s="7">
        <v>32</v>
      </c>
      <c r="I35">
        <v>12.817218620408756</v>
      </c>
      <c r="J35" s="7">
        <f t="shared" si="0"/>
        <v>22.919999999999998</v>
      </c>
      <c r="K35" s="7">
        <f t="shared" si="1"/>
        <v>15.54</v>
      </c>
    </row>
    <row r="36" spans="8:11" x14ac:dyDescent="0.25">
      <c r="H36" s="7">
        <v>33</v>
      </c>
      <c r="I36">
        <v>14.046527345825218</v>
      </c>
      <c r="J36" s="7">
        <f t="shared" si="0"/>
        <v>22.919999999999998</v>
      </c>
      <c r="K36" s="7">
        <f t="shared" si="1"/>
        <v>15.54</v>
      </c>
    </row>
    <row r="37" spans="8:11" x14ac:dyDescent="0.25">
      <c r="H37" s="7">
        <v>34</v>
      </c>
      <c r="I37">
        <v>15.328198541991508</v>
      </c>
      <c r="J37" s="7">
        <f t="shared" si="0"/>
        <v>22.919999999999998</v>
      </c>
      <c r="K37" s="7">
        <f t="shared" si="1"/>
        <v>15.54</v>
      </c>
    </row>
    <row r="38" spans="8:11" x14ac:dyDescent="0.25">
      <c r="H38" s="7">
        <v>35</v>
      </c>
      <c r="I38">
        <v>16.680553093483951</v>
      </c>
      <c r="J38" s="7">
        <f t="shared" si="0"/>
        <v>22.919999999999998</v>
      </c>
      <c r="K38" s="7">
        <f t="shared" si="1"/>
        <v>15.54</v>
      </c>
    </row>
    <row r="39" spans="8:11" x14ac:dyDescent="0.25">
      <c r="H39" s="7">
        <v>36</v>
      </c>
      <c r="I39">
        <v>18.084199459936542</v>
      </c>
      <c r="J39" s="7">
        <f t="shared" si="0"/>
        <v>22.919999999999998</v>
      </c>
      <c r="K39" s="7">
        <f t="shared" si="1"/>
        <v>15.54</v>
      </c>
    </row>
    <row r="40" spans="8:11" x14ac:dyDescent="0.25">
      <c r="H40" s="7">
        <v>37</v>
      </c>
      <c r="I40">
        <v>19.545683049103101</v>
      </c>
      <c r="J40" s="7">
        <f t="shared" si="0"/>
        <v>22.919999999999998</v>
      </c>
      <c r="K40" s="7">
        <f t="shared" si="1"/>
        <v>15.54</v>
      </c>
    </row>
    <row r="41" spans="8:11" x14ac:dyDescent="0.25">
      <c r="H41" s="7">
        <v>38</v>
      </c>
      <c r="I41">
        <v>21.070193274357734</v>
      </c>
      <c r="J41" s="7">
        <f t="shared" si="0"/>
        <v>22.919999999999998</v>
      </c>
      <c r="K41" s="7">
        <f t="shared" si="1"/>
        <v>15.54</v>
      </c>
    </row>
    <row r="42" spans="8:11" x14ac:dyDescent="0.25">
      <c r="H42" s="7">
        <v>39</v>
      </c>
      <c r="I42">
        <v>22.652984475836789</v>
      </c>
      <c r="J42" s="7">
        <f t="shared" si="0"/>
        <v>22.919999999999998</v>
      </c>
      <c r="K42" s="7">
        <f t="shared" si="1"/>
        <v>15.54</v>
      </c>
    </row>
    <row r="43" spans="8:11" x14ac:dyDescent="0.25">
      <c r="H43" s="7">
        <v>40</v>
      </c>
      <c r="I43">
        <v>24.321739480992012</v>
      </c>
      <c r="J43" s="7">
        <f t="shared" si="0"/>
        <v>22.919999999999998</v>
      </c>
      <c r="K43" s="7">
        <f t="shared" si="1"/>
        <v>15.54</v>
      </c>
    </row>
    <row r="44" spans="8:11" x14ac:dyDescent="0.25">
      <c r="H44" s="7">
        <v>41</v>
      </c>
      <c r="I44">
        <v>26.024121090933118</v>
      </c>
      <c r="J44" s="7">
        <f t="shared" si="0"/>
        <v>22.919999999999998</v>
      </c>
      <c r="K44" s="7">
        <f t="shared" si="1"/>
        <v>15.54</v>
      </c>
    </row>
    <row r="45" spans="8:11" x14ac:dyDescent="0.25">
      <c r="H45" s="7">
        <v>42</v>
      </c>
      <c r="I45">
        <v>27.782336869777108</v>
      </c>
      <c r="J45" s="7">
        <f t="shared" si="0"/>
        <v>22.919999999999998</v>
      </c>
      <c r="K45" s="7">
        <f t="shared" si="1"/>
        <v>15.54</v>
      </c>
    </row>
    <row r="46" spans="8:11" x14ac:dyDescent="0.25">
      <c r="H46" s="7">
        <v>43</v>
      </c>
      <c r="I46">
        <v>29.629471484184933</v>
      </c>
      <c r="J46" s="7">
        <f t="shared" si="0"/>
        <v>22.919999999999998</v>
      </c>
      <c r="K46" s="7">
        <f t="shared" si="1"/>
        <v>15.54</v>
      </c>
    </row>
    <row r="47" spans="8:11" x14ac:dyDescent="0.25">
      <c r="H47" s="7">
        <v>44</v>
      </c>
      <c r="I47">
        <v>31.510444259621039</v>
      </c>
      <c r="J47" s="7">
        <f t="shared" si="0"/>
        <v>22.919999999999998</v>
      </c>
      <c r="K47" s="7">
        <f t="shared" si="1"/>
        <v>15.54</v>
      </c>
    </row>
    <row r="48" spans="8:11" x14ac:dyDescent="0.25">
      <c r="H48" s="7">
        <v>45</v>
      </c>
      <c r="I48">
        <v>33.474087983640658</v>
      </c>
      <c r="J48" s="7">
        <f t="shared" si="0"/>
        <v>22.919999999999998</v>
      </c>
      <c r="K48" s="7">
        <f t="shared" si="1"/>
        <v>15.54</v>
      </c>
    </row>
    <row r="49" spans="8:11" x14ac:dyDescent="0.25">
      <c r="H49" s="7">
        <v>46</v>
      </c>
      <c r="I49">
        <v>35.479405923062082</v>
      </c>
      <c r="J49" s="7">
        <f t="shared" si="0"/>
        <v>22.919999999999998</v>
      </c>
      <c r="K49" s="7">
        <f t="shared" si="1"/>
        <v>15.54</v>
      </c>
    </row>
    <row r="50" spans="8:11" x14ac:dyDescent="0.25">
      <c r="H50" s="7">
        <v>47</v>
      </c>
      <c r="I50">
        <v>37.562130760832254</v>
      </c>
      <c r="J50" s="7">
        <f t="shared" si="0"/>
        <v>22.919999999999998</v>
      </c>
      <c r="K50" s="7">
        <f t="shared" si="1"/>
        <v>15.54</v>
      </c>
    </row>
    <row r="51" spans="8:11" x14ac:dyDescent="0.25">
      <c r="H51" s="7">
        <v>48</v>
      </c>
      <c r="I51">
        <v>39.68266491928852</v>
      </c>
      <c r="J51" s="7">
        <f t="shared" si="0"/>
        <v>22.919999999999998</v>
      </c>
      <c r="K51" s="7">
        <f t="shared" si="1"/>
        <v>15.54</v>
      </c>
    </row>
    <row r="52" spans="8:11" x14ac:dyDescent="0.25">
      <c r="H52" s="7">
        <v>49</v>
      </c>
      <c r="I52">
        <v>41.887894359378343</v>
      </c>
      <c r="J52" s="7">
        <f t="shared" si="0"/>
        <v>22.919999999999998</v>
      </c>
      <c r="K52" s="7">
        <f t="shared" si="1"/>
        <v>15.54</v>
      </c>
    </row>
    <row r="53" spans="8:11" x14ac:dyDescent="0.25">
      <c r="H53" s="7">
        <v>50</v>
      </c>
      <c r="I53">
        <v>44.160951307545865</v>
      </c>
      <c r="J53" s="7">
        <f t="shared" si="0"/>
        <v>22.919999999999998</v>
      </c>
      <c r="K53" s="7">
        <f t="shared" si="1"/>
        <v>15.54</v>
      </c>
    </row>
  </sheetData>
  <pageMargins left="0.7" right="0.7" top="0.75" bottom="0.75" header="0.3" footer="0.3"/>
  <pageSetup orientation="portrait" r:id="rId1"/>
  <headerFooter>
    <oddFooter>&amp;C&amp;1#&amp;"Arial"&amp;10&amp;K000000Internal</oddFooter>
  </headerFooter>
  <drawing r:id="rId2"/>
  <legacyDrawing r:id="rId3"/>
  <oleObjects>
    <mc:AlternateContent xmlns:mc="http://schemas.openxmlformats.org/markup-compatibility/2006">
      <mc:Choice Requires="x14">
        <oleObject progId="Equation.3" shapeId="9217" r:id="rId4">
          <objectPr defaultSize="0" autoPict="0" r:id="rId5">
            <anchor moveWithCells="1" sizeWithCells="1">
              <from>
                <xdr:col>0</xdr:col>
                <xdr:colOff>390525</xdr:colOff>
                <xdr:row>3</xdr:row>
                <xdr:rowOff>66675</xdr:rowOff>
              </from>
              <to>
                <xdr:col>2</xdr:col>
                <xdr:colOff>466725</xdr:colOff>
                <xdr:row>5</xdr:row>
                <xdr:rowOff>104775</xdr:rowOff>
              </to>
            </anchor>
          </objectPr>
        </oleObject>
      </mc:Choice>
      <mc:Fallback>
        <oleObject progId="Equation.3" shapeId="9217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39A42-3885-475D-B20A-EEE532F5E9E3}">
  <sheetPr>
    <tabColor theme="0" tint="-0.499984740745262"/>
  </sheetPr>
  <dimension ref="A6:K56"/>
  <sheetViews>
    <sheetView zoomScale="80" zoomScaleNormal="80" workbookViewId="0">
      <selection activeCell="P37" sqref="P37"/>
    </sheetView>
  </sheetViews>
  <sheetFormatPr defaultRowHeight="15" x14ac:dyDescent="0.25"/>
  <cols>
    <col min="2" max="2" width="14" customWidth="1"/>
    <col min="4" max="4" width="7.42578125" customWidth="1"/>
    <col min="5" max="5" width="12" customWidth="1"/>
    <col min="10" max="10" width="12.42578125" customWidth="1"/>
    <col min="11" max="11" width="12.140625" customWidth="1"/>
  </cols>
  <sheetData>
    <row r="6" spans="1:11" x14ac:dyDescent="0.25">
      <c r="A6" s="8" t="s">
        <v>4</v>
      </c>
      <c r="B6" s="8" t="s">
        <v>35</v>
      </c>
      <c r="C6" s="2"/>
      <c r="H6" s="8" t="s">
        <v>4</v>
      </c>
      <c r="I6" s="8" t="s">
        <v>36</v>
      </c>
      <c r="J6" s="8" t="s">
        <v>33</v>
      </c>
      <c r="K6" s="8" t="s">
        <v>26</v>
      </c>
    </row>
    <row r="7" spans="1:11" x14ac:dyDescent="0.25">
      <c r="A7" s="7">
        <v>1</v>
      </c>
      <c r="B7" s="7">
        <v>4.06301570844031</v>
      </c>
      <c r="C7" s="2"/>
      <c r="D7" s="13"/>
      <c r="E7" s="14">
        <f>(SUM(B12:B19))</f>
        <v>2.7141627987792218</v>
      </c>
      <c r="H7" s="7">
        <v>1</v>
      </c>
      <c r="I7" s="7">
        <v>0.50952169225022514</v>
      </c>
      <c r="J7" s="7">
        <f>$E$13</f>
        <v>11.775586555642477</v>
      </c>
      <c r="K7" s="7">
        <f>$E$14</f>
        <v>11.38226970118221</v>
      </c>
    </row>
    <row r="8" spans="1:11" x14ac:dyDescent="0.25">
      <c r="A8" s="7">
        <v>2</v>
      </c>
      <c r="B8" s="7">
        <v>2.1702855043291098</v>
      </c>
      <c r="C8" s="2"/>
      <c r="D8" s="13"/>
      <c r="E8" s="14">
        <f>((B12^2+B13^2+B14^2+B15^2+B16^2+B17^2+B18^2+B19^2))</f>
        <v>1.7751129687848479</v>
      </c>
      <c r="H8" s="7">
        <v>2</v>
      </c>
      <c r="I8" s="7">
        <v>0.50952169225022514</v>
      </c>
      <c r="J8" s="7">
        <f t="shared" ref="J8:J56" si="0">$E$13</f>
        <v>11.775586555642477</v>
      </c>
      <c r="K8" s="7">
        <f t="shared" ref="K8:K56" si="1">$E$14</f>
        <v>11.38226970118221</v>
      </c>
    </row>
    <row r="9" spans="1:11" x14ac:dyDescent="0.25">
      <c r="A9" s="7">
        <v>3</v>
      </c>
      <c r="B9" s="7">
        <v>1.6008862070974099</v>
      </c>
      <c r="C9" s="2"/>
      <c r="D9" s="13"/>
      <c r="E9" s="14">
        <f>((B12^3+B13^3+B14^3+B15^3+B16^3+B17^3+B18^3+B19^3))</f>
        <v>1.328756420437518</v>
      </c>
      <c r="H9" s="7">
        <v>3</v>
      </c>
      <c r="I9" s="7">
        <v>0.61139804313346668</v>
      </c>
      <c r="J9" s="7">
        <f t="shared" si="0"/>
        <v>11.775586555642477</v>
      </c>
      <c r="K9" s="7">
        <f t="shared" si="1"/>
        <v>11.38226970118221</v>
      </c>
    </row>
    <row r="10" spans="1:11" x14ac:dyDescent="0.25">
      <c r="A10" s="7">
        <v>4</v>
      </c>
      <c r="B10" s="7">
        <v>1.3174486883505201</v>
      </c>
      <c r="C10" s="2"/>
      <c r="D10" s="13"/>
      <c r="E10" s="14">
        <f>(1-((2*E7*E9)/(3*E8^2)))</f>
        <v>0.23697631913456263</v>
      </c>
      <c r="H10" s="7">
        <v>4</v>
      </c>
      <c r="I10" s="7">
        <v>0.77186029154450897</v>
      </c>
      <c r="J10" s="7">
        <f t="shared" si="0"/>
        <v>11.775586555642477</v>
      </c>
      <c r="K10" s="7">
        <f t="shared" si="1"/>
        <v>11.38226970118221</v>
      </c>
    </row>
    <row r="11" spans="1:11" x14ac:dyDescent="0.25">
      <c r="A11" s="7">
        <v>5</v>
      </c>
      <c r="B11" s="7">
        <v>1.1342010930034301</v>
      </c>
      <c r="C11" s="2"/>
      <c r="D11" s="15">
        <v>0.99</v>
      </c>
      <c r="E11" s="14">
        <v>2.58</v>
      </c>
      <c r="H11" s="7">
        <v>5</v>
      </c>
      <c r="I11" s="7">
        <v>1.126346312291878</v>
      </c>
      <c r="J11" s="7">
        <f t="shared" si="0"/>
        <v>11.775586555642477</v>
      </c>
      <c r="K11" s="7">
        <f t="shared" si="1"/>
        <v>11.38226970118221</v>
      </c>
    </row>
    <row r="12" spans="1:11" x14ac:dyDescent="0.25">
      <c r="A12" s="7">
        <v>6</v>
      </c>
      <c r="B12" s="7">
        <v>0.93359728186612301</v>
      </c>
      <c r="C12" s="2"/>
      <c r="D12" s="16">
        <v>0.95</v>
      </c>
      <c r="E12" s="14">
        <v>1.645</v>
      </c>
      <c r="H12" s="7">
        <v>6</v>
      </c>
      <c r="I12" s="7">
        <v>1.5850320202631463</v>
      </c>
      <c r="J12" s="7">
        <f t="shared" si="0"/>
        <v>11.775586555642477</v>
      </c>
      <c r="K12" s="7">
        <f t="shared" si="1"/>
        <v>11.38226970118221</v>
      </c>
    </row>
    <row r="13" spans="1:11" x14ac:dyDescent="0.25">
      <c r="A13" s="7">
        <v>7</v>
      </c>
      <c r="B13" s="7">
        <v>0.643530887107711</v>
      </c>
      <c r="C13" s="2"/>
      <c r="D13" s="13"/>
      <c r="E13" s="14">
        <f>(E7*((E11*(((2*E8*E10^2)^1/2)/E7))+((E7*E10*(E10-1))/E7^2)+1)^1/E10)</f>
        <v>11.775586555642477</v>
      </c>
      <c r="F13" s="17">
        <v>0.99</v>
      </c>
      <c r="H13" s="7">
        <v>7</v>
      </c>
      <c r="I13" s="7">
        <v>2.2215697295013248</v>
      </c>
      <c r="J13" s="7">
        <f t="shared" si="0"/>
        <v>11.775586555642477</v>
      </c>
      <c r="K13" s="7">
        <f t="shared" si="1"/>
        <v>11.38226970118221</v>
      </c>
    </row>
    <row r="14" spans="1:11" x14ac:dyDescent="0.25">
      <c r="A14" s="7">
        <v>8</v>
      </c>
      <c r="B14" s="7">
        <v>0.58867921437633997</v>
      </c>
      <c r="C14" s="2"/>
      <c r="D14" s="13"/>
      <c r="E14" s="14">
        <f>(E7*((E12*(((2*E8*E10^2)^1/2)/E7))+((E7*E10*(E10-1))/E7^2)+1)^1/E10)</f>
        <v>11.38226970118221</v>
      </c>
      <c r="F14" s="17">
        <v>0.95</v>
      </c>
      <c r="H14" s="7">
        <v>8</v>
      </c>
      <c r="I14" s="7">
        <v>2.9887765782240807</v>
      </c>
      <c r="J14" s="7">
        <f t="shared" si="0"/>
        <v>11.775586555642477</v>
      </c>
      <c r="K14" s="7">
        <f t="shared" si="1"/>
        <v>11.38226970118221</v>
      </c>
    </row>
    <row r="15" spans="1:11" x14ac:dyDescent="0.25">
      <c r="A15" s="7">
        <v>9</v>
      </c>
      <c r="B15" s="7">
        <v>0.34524758134744299</v>
      </c>
      <c r="C15" s="2"/>
      <c r="H15" s="7">
        <v>9</v>
      </c>
      <c r="I15" s="7">
        <v>3.9179005366242379</v>
      </c>
      <c r="J15" s="7">
        <f t="shared" si="0"/>
        <v>11.775586555642477</v>
      </c>
      <c r="K15" s="7">
        <f t="shared" si="1"/>
        <v>11.38226970118221</v>
      </c>
    </row>
    <row r="16" spans="1:11" x14ac:dyDescent="0.25">
      <c r="A16" s="7">
        <v>10</v>
      </c>
      <c r="B16" s="7">
        <v>0.14938043525203901</v>
      </c>
      <c r="C16" s="2"/>
      <c r="H16" s="7">
        <v>10</v>
      </c>
      <c r="I16" s="7">
        <v>4.9922917302278647</v>
      </c>
      <c r="J16" s="7">
        <f t="shared" si="0"/>
        <v>11.775586555642477</v>
      </c>
      <c r="K16" s="7">
        <f t="shared" si="1"/>
        <v>11.38226970118221</v>
      </c>
    </row>
    <row r="17" spans="1:11" x14ac:dyDescent="0.25">
      <c r="A17" s="7">
        <v>11</v>
      </c>
      <c r="B17" s="7">
        <v>2.8428808283652799E-2</v>
      </c>
      <c r="C17" s="2"/>
      <c r="H17" s="7">
        <v>11</v>
      </c>
      <c r="I17" s="7">
        <v>6.2365082886377134</v>
      </c>
      <c r="J17" s="7">
        <f t="shared" si="0"/>
        <v>11.775586555642477</v>
      </c>
      <c r="K17" s="7">
        <f t="shared" si="1"/>
        <v>11.38226970118221</v>
      </c>
    </row>
    <row r="18" spans="1:11" x14ac:dyDescent="0.25">
      <c r="A18" s="7">
        <v>12</v>
      </c>
      <c r="B18" s="7">
        <v>2.2529847688458102E-2</v>
      </c>
      <c r="C18" s="2"/>
      <c r="H18" s="7">
        <v>12</v>
      </c>
      <c r="I18" s="7">
        <v>7.6269970894602483</v>
      </c>
      <c r="J18" s="7">
        <f t="shared" si="0"/>
        <v>11.775586555642477</v>
      </c>
      <c r="K18" s="7">
        <f t="shared" si="1"/>
        <v>11.38226970118221</v>
      </c>
    </row>
    <row r="19" spans="1:11" x14ac:dyDescent="0.25">
      <c r="A19" s="7">
        <v>13</v>
      </c>
      <c r="B19" s="7">
        <v>2.7687428574548699E-3</v>
      </c>
      <c r="C19" s="2"/>
      <c r="H19" s="7">
        <v>13</v>
      </c>
      <c r="I19" s="7">
        <v>9.2068507432636597</v>
      </c>
      <c r="J19" s="7">
        <f t="shared" si="0"/>
        <v>11.775586555642477</v>
      </c>
      <c r="K19" s="7">
        <f t="shared" si="1"/>
        <v>11.38226970118221</v>
      </c>
    </row>
    <row r="20" spans="1:11" x14ac:dyDescent="0.25">
      <c r="H20" s="7">
        <v>14</v>
      </c>
      <c r="I20" s="7">
        <v>10.923471590977597</v>
      </c>
      <c r="J20" s="7">
        <f t="shared" si="0"/>
        <v>11.775586555642477</v>
      </c>
      <c r="K20" s="7">
        <f t="shared" si="1"/>
        <v>11.38226970118221</v>
      </c>
    </row>
    <row r="21" spans="1:11" x14ac:dyDescent="0.25">
      <c r="H21" s="7">
        <v>15</v>
      </c>
      <c r="I21" s="7">
        <v>12.815762184501111</v>
      </c>
      <c r="J21" s="7">
        <f t="shared" si="0"/>
        <v>11.775586555642477</v>
      </c>
      <c r="K21" s="7">
        <f t="shared" si="1"/>
        <v>11.38226970118221</v>
      </c>
    </row>
    <row r="22" spans="1:11" x14ac:dyDescent="0.25">
      <c r="H22" s="7">
        <v>16</v>
      </c>
      <c r="I22" s="7">
        <v>14.909643577920008</v>
      </c>
      <c r="J22" s="7">
        <f t="shared" si="0"/>
        <v>11.775586555642477</v>
      </c>
      <c r="K22" s="7">
        <f t="shared" si="1"/>
        <v>11.38226970118221</v>
      </c>
    </row>
    <row r="23" spans="1:11" x14ac:dyDescent="0.25">
      <c r="H23" s="7">
        <v>17</v>
      </c>
      <c r="I23" s="7">
        <v>17.146000823428061</v>
      </c>
      <c r="J23" s="7">
        <f t="shared" si="0"/>
        <v>11.775586555642477</v>
      </c>
      <c r="K23" s="7">
        <f t="shared" si="1"/>
        <v>11.38226970118221</v>
      </c>
    </row>
    <row r="24" spans="1:11" x14ac:dyDescent="0.25">
      <c r="H24" s="7">
        <v>18</v>
      </c>
      <c r="I24" s="7">
        <v>19.563543823069995</v>
      </c>
      <c r="J24" s="7">
        <f t="shared" si="0"/>
        <v>11.775586555642477</v>
      </c>
      <c r="K24" s="7">
        <f t="shared" si="1"/>
        <v>11.38226970118221</v>
      </c>
    </row>
    <row r="25" spans="1:11" x14ac:dyDescent="0.25">
      <c r="H25" s="7">
        <v>19</v>
      </c>
      <c r="I25" s="7">
        <v>22.173944055604142</v>
      </c>
      <c r="J25" s="7">
        <f t="shared" si="0"/>
        <v>11.775586555642477</v>
      </c>
      <c r="K25" s="7">
        <f t="shared" si="1"/>
        <v>11.38226970118221</v>
      </c>
    </row>
    <row r="26" spans="1:11" x14ac:dyDescent="0.25">
      <c r="H26" s="7">
        <v>20</v>
      </c>
      <c r="I26" s="7">
        <v>24.940629875769908</v>
      </c>
      <c r="J26" s="7">
        <f t="shared" si="0"/>
        <v>11.775586555642477</v>
      </c>
      <c r="K26" s="7">
        <f t="shared" si="1"/>
        <v>11.38226970118221</v>
      </c>
    </row>
    <row r="27" spans="1:11" x14ac:dyDescent="0.25">
      <c r="H27" s="7">
        <v>21</v>
      </c>
      <c r="I27" s="7">
        <v>27.894993559419689</v>
      </c>
      <c r="J27" s="7">
        <f t="shared" si="0"/>
        <v>11.775586555642477</v>
      </c>
      <c r="K27" s="7">
        <f t="shared" si="1"/>
        <v>11.38226970118221</v>
      </c>
    </row>
    <row r="28" spans="1:11" x14ac:dyDescent="0.25">
      <c r="H28" s="7">
        <v>22</v>
      </c>
      <c r="I28" s="7">
        <v>31.024706518774508</v>
      </c>
      <c r="J28" s="7">
        <f t="shared" si="0"/>
        <v>11.775586555642477</v>
      </c>
      <c r="K28" s="7">
        <f t="shared" si="1"/>
        <v>11.38226970118221</v>
      </c>
    </row>
    <row r="29" spans="1:11" x14ac:dyDescent="0.25">
      <c r="H29" s="7">
        <v>23</v>
      </c>
      <c r="I29" s="7">
        <v>34.351088458410779</v>
      </c>
      <c r="J29" s="7">
        <f t="shared" si="0"/>
        <v>11.775586555642477</v>
      </c>
      <c r="K29" s="7">
        <f t="shared" si="1"/>
        <v>11.38226970118221</v>
      </c>
    </row>
    <row r="30" spans="1:11" x14ac:dyDescent="0.25">
      <c r="H30" s="7">
        <v>24</v>
      </c>
      <c r="I30" s="7">
        <v>37.8287995822879</v>
      </c>
      <c r="J30" s="7">
        <f t="shared" si="0"/>
        <v>11.775586555642477</v>
      </c>
      <c r="K30" s="7">
        <f t="shared" si="1"/>
        <v>11.38226970118221</v>
      </c>
    </row>
    <row r="31" spans="1:11" x14ac:dyDescent="0.25">
      <c r="H31" s="7">
        <v>25</v>
      </c>
      <c r="I31" s="7">
        <v>41.479528441130071</v>
      </c>
      <c r="J31" s="7">
        <f t="shared" si="0"/>
        <v>11.775586555642477</v>
      </c>
      <c r="K31" s="7">
        <f t="shared" si="1"/>
        <v>11.38226970118221</v>
      </c>
    </row>
    <row r="32" spans="1:11" x14ac:dyDescent="0.25">
      <c r="H32" s="7">
        <v>26</v>
      </c>
      <c r="I32" s="7">
        <v>45.365611114917904</v>
      </c>
      <c r="J32" s="7">
        <f t="shared" si="0"/>
        <v>11.775586555642477</v>
      </c>
      <c r="K32" s="7">
        <f t="shared" si="1"/>
        <v>11.38226970118221</v>
      </c>
    </row>
    <row r="33" spans="8:11" x14ac:dyDescent="0.25">
      <c r="H33" s="7">
        <v>27</v>
      </c>
      <c r="I33" s="7">
        <v>49.399491065894239</v>
      </c>
      <c r="J33" s="7">
        <f t="shared" si="0"/>
        <v>11.775586555642477</v>
      </c>
      <c r="K33" s="7">
        <f t="shared" si="1"/>
        <v>11.38226970118221</v>
      </c>
    </row>
    <row r="34" spans="8:11" x14ac:dyDescent="0.25">
      <c r="H34" s="7">
        <v>28</v>
      </c>
      <c r="I34" s="7">
        <v>53.629758412425737</v>
      </c>
      <c r="J34" s="7">
        <f t="shared" si="0"/>
        <v>11.775586555642477</v>
      </c>
      <c r="K34" s="7">
        <f t="shared" si="1"/>
        <v>11.38226970118221</v>
      </c>
    </row>
    <row r="35" spans="8:11" x14ac:dyDescent="0.25">
      <c r="H35" s="7">
        <v>29</v>
      </c>
      <c r="I35" s="7">
        <v>58.005126308602321</v>
      </c>
      <c r="J35" s="7">
        <f t="shared" si="0"/>
        <v>11.775586555642477</v>
      </c>
      <c r="K35" s="7">
        <f t="shared" si="1"/>
        <v>11.38226970118221</v>
      </c>
    </row>
    <row r="36" spans="8:11" x14ac:dyDescent="0.25">
      <c r="H36" s="7">
        <v>30</v>
      </c>
      <c r="I36" s="7">
        <v>62.625961728248008</v>
      </c>
      <c r="J36" s="7">
        <f t="shared" si="0"/>
        <v>11.775586555642477</v>
      </c>
      <c r="K36" s="7">
        <f t="shared" si="1"/>
        <v>11.38226970118221</v>
      </c>
    </row>
    <row r="37" spans="8:11" x14ac:dyDescent="0.25">
      <c r="H37" s="7">
        <v>31</v>
      </c>
      <c r="I37" s="7">
        <v>67.336984941105598</v>
      </c>
      <c r="J37" s="7">
        <f t="shared" si="0"/>
        <v>11.775586555642477</v>
      </c>
      <c r="K37" s="7">
        <f t="shared" si="1"/>
        <v>11.38226970118221</v>
      </c>
    </row>
    <row r="38" spans="8:11" x14ac:dyDescent="0.25">
      <c r="H38" s="7">
        <v>32</v>
      </c>
      <c r="I38">
        <v>72.300306820814967</v>
      </c>
      <c r="J38" s="7">
        <f t="shared" si="0"/>
        <v>11.775586555642477</v>
      </c>
      <c r="K38" s="7">
        <f t="shared" si="1"/>
        <v>11.38226970118221</v>
      </c>
    </row>
    <row r="39" spans="8:11" x14ac:dyDescent="0.25">
      <c r="H39" s="7">
        <v>33</v>
      </c>
      <c r="I39">
        <v>77.449985063618314</v>
      </c>
      <c r="J39" s="7">
        <f t="shared" si="0"/>
        <v>11.775586555642477</v>
      </c>
      <c r="K39" s="7">
        <f t="shared" si="1"/>
        <v>11.38226970118221</v>
      </c>
    </row>
    <row r="40" spans="8:11" x14ac:dyDescent="0.25">
      <c r="H40" s="7">
        <v>34</v>
      </c>
      <c r="I40">
        <v>82.775481647268066</v>
      </c>
      <c r="J40" s="7">
        <f t="shared" si="0"/>
        <v>11.775586555642477</v>
      </c>
      <c r="K40" s="7">
        <f t="shared" si="1"/>
        <v>11.38226970118221</v>
      </c>
    </row>
    <row r="41" spans="8:11" x14ac:dyDescent="0.25">
      <c r="H41" s="7">
        <v>35</v>
      </c>
      <c r="I41">
        <v>88.240829636773938</v>
      </c>
      <c r="J41" s="7">
        <f t="shared" si="0"/>
        <v>11.775586555642477</v>
      </c>
      <c r="K41" s="7">
        <f t="shared" si="1"/>
        <v>11.38226970118221</v>
      </c>
    </row>
    <row r="42" spans="8:11" x14ac:dyDescent="0.25">
      <c r="H42" s="7">
        <v>36</v>
      </c>
      <c r="I42">
        <v>93.905104986199802</v>
      </c>
      <c r="J42" s="7">
        <f t="shared" si="0"/>
        <v>11.775586555642477</v>
      </c>
      <c r="K42" s="7">
        <f t="shared" si="1"/>
        <v>11.38226970118221</v>
      </c>
    </row>
    <row r="43" spans="8:11" x14ac:dyDescent="0.25">
      <c r="H43" s="7">
        <v>37</v>
      </c>
      <c r="I43">
        <v>99.749280594708665</v>
      </c>
      <c r="J43" s="7">
        <f t="shared" si="0"/>
        <v>11.775586555642477</v>
      </c>
      <c r="K43" s="7">
        <f t="shared" si="1"/>
        <v>11.38226970118221</v>
      </c>
    </row>
    <row r="44" spans="8:11" x14ac:dyDescent="0.25">
      <c r="H44" s="7">
        <v>38</v>
      </c>
      <c r="I44">
        <v>105.78420286491806</v>
      </c>
      <c r="J44" s="7">
        <f t="shared" si="0"/>
        <v>11.775586555642477</v>
      </c>
      <c r="K44" s="7">
        <f t="shared" si="1"/>
        <v>11.38226970118221</v>
      </c>
    </row>
    <row r="45" spans="8:11" x14ac:dyDescent="0.25">
      <c r="H45" s="7">
        <v>39</v>
      </c>
      <c r="I45">
        <v>111.96388436231152</v>
      </c>
      <c r="J45" s="7">
        <f t="shared" si="0"/>
        <v>11.775586555642477</v>
      </c>
      <c r="K45" s="7">
        <f t="shared" si="1"/>
        <v>11.38226970118221</v>
      </c>
    </row>
    <row r="46" spans="8:11" x14ac:dyDescent="0.25">
      <c r="H46" s="7">
        <v>40</v>
      </c>
      <c r="I46">
        <v>118.42177501602001</v>
      </c>
      <c r="J46" s="7">
        <f t="shared" si="0"/>
        <v>11.775586555642477</v>
      </c>
      <c r="K46" s="7">
        <f t="shared" si="1"/>
        <v>11.38226970118221</v>
      </c>
    </row>
    <row r="47" spans="8:11" x14ac:dyDescent="0.25">
      <c r="H47" s="7">
        <v>41</v>
      </c>
      <c r="I47">
        <v>124.96257507032256</v>
      </c>
      <c r="J47" s="7">
        <f t="shared" si="0"/>
        <v>11.775586555642477</v>
      </c>
      <c r="K47" s="7">
        <f t="shared" si="1"/>
        <v>11.38226970118221</v>
      </c>
    </row>
    <row r="48" spans="8:11" x14ac:dyDescent="0.25">
      <c r="H48" s="7">
        <v>42</v>
      </c>
      <c r="I48">
        <v>131.67969361026928</v>
      </c>
      <c r="J48" s="7">
        <f t="shared" si="0"/>
        <v>11.775586555642477</v>
      </c>
      <c r="K48" s="7">
        <f t="shared" si="1"/>
        <v>11.38226970118221</v>
      </c>
    </row>
    <row r="49" spans="8:11" x14ac:dyDescent="0.25">
      <c r="H49" s="7">
        <v>43</v>
      </c>
      <c r="I49">
        <v>138.68323666777363</v>
      </c>
      <c r="J49" s="7">
        <f t="shared" si="0"/>
        <v>11.775586555642477</v>
      </c>
      <c r="K49" s="7">
        <f t="shared" si="1"/>
        <v>11.38226970118221</v>
      </c>
    </row>
    <row r="50" spans="8:11" x14ac:dyDescent="0.25">
      <c r="H50" s="7">
        <v>44</v>
      </c>
      <c r="I50">
        <v>145.77682102608165</v>
      </c>
      <c r="J50" s="7">
        <f t="shared" si="0"/>
        <v>11.775586555642477</v>
      </c>
      <c r="K50" s="7">
        <f t="shared" si="1"/>
        <v>11.38226970118221</v>
      </c>
    </row>
    <row r="51" spans="8:11" x14ac:dyDescent="0.25">
      <c r="H51" s="7">
        <v>45</v>
      </c>
      <c r="I51">
        <v>153.14423205351807</v>
      </c>
      <c r="J51" s="7">
        <f t="shared" si="0"/>
        <v>11.775586555642477</v>
      </c>
      <c r="K51" s="7">
        <f t="shared" si="1"/>
        <v>11.38226970118221</v>
      </c>
    </row>
    <row r="52" spans="8:11" x14ac:dyDescent="0.25">
      <c r="H52" s="7">
        <v>46</v>
      </c>
      <c r="I52">
        <v>160.55618765955262</v>
      </c>
      <c r="J52" s="7">
        <f t="shared" si="0"/>
        <v>11.775586555642477</v>
      </c>
      <c r="K52" s="7">
        <f t="shared" si="1"/>
        <v>11.38226970118221</v>
      </c>
    </row>
    <row r="53" spans="8:11" x14ac:dyDescent="0.25">
      <c r="H53" s="7">
        <v>47</v>
      </c>
      <c r="I53">
        <v>168.28692877156502</v>
      </c>
      <c r="J53" s="7">
        <f t="shared" si="0"/>
        <v>11.775586555642477</v>
      </c>
      <c r="K53" s="7">
        <f t="shared" si="1"/>
        <v>11.38226970118221</v>
      </c>
    </row>
    <row r="54" spans="8:11" x14ac:dyDescent="0.25">
      <c r="H54" s="7">
        <v>48</v>
      </c>
      <c r="I54">
        <v>176.05443008392473</v>
      </c>
      <c r="J54" s="7">
        <f t="shared" si="0"/>
        <v>11.775586555642477</v>
      </c>
      <c r="K54" s="7">
        <f t="shared" si="1"/>
        <v>11.38226970118221</v>
      </c>
    </row>
    <row r="55" spans="8:11" x14ac:dyDescent="0.25">
      <c r="H55" s="7">
        <v>49</v>
      </c>
      <c r="I55">
        <v>184.15242763284084</v>
      </c>
      <c r="J55" s="7">
        <f t="shared" si="0"/>
        <v>11.775586555642477</v>
      </c>
      <c r="K55" s="7">
        <f t="shared" si="1"/>
        <v>11.38226970118221</v>
      </c>
    </row>
    <row r="56" spans="8:11" x14ac:dyDescent="0.25">
      <c r="H56" s="7">
        <v>50</v>
      </c>
      <c r="I56">
        <v>192.40244385529209</v>
      </c>
      <c r="J56" s="7">
        <f t="shared" si="0"/>
        <v>11.775586555642477</v>
      </c>
      <c r="K56" s="7">
        <f t="shared" si="1"/>
        <v>11.38226970118221</v>
      </c>
    </row>
  </sheetData>
  <pageMargins left="0.7" right="0.7" top="0.75" bottom="0.75" header="0.3" footer="0.3"/>
  <pageSetup orientation="portrait" r:id="rId1"/>
  <headerFooter>
    <oddFooter>&amp;C&amp;1#&amp;"Arial"&amp;10&amp;K000000Internal</oddFooter>
  </headerFooter>
  <drawing r:id="rId2"/>
  <legacyDrawing r:id="rId3"/>
  <oleObjects>
    <mc:AlternateContent xmlns:mc="http://schemas.openxmlformats.org/markup-compatibility/2006">
      <mc:Choice Requires="x14">
        <oleObject progId="Equation.3" shapeId="16386" r:id="rId4">
          <objectPr defaultSize="0" autoPict="0" r:id="rId5">
            <anchor moveWithCells="1" sizeWithCells="1">
              <from>
                <xdr:col>0</xdr:col>
                <xdr:colOff>200025</xdr:colOff>
                <xdr:row>0</xdr:row>
                <xdr:rowOff>133350</xdr:rowOff>
              </from>
              <to>
                <xdr:col>6</xdr:col>
                <xdr:colOff>276225</xdr:colOff>
                <xdr:row>3</xdr:row>
                <xdr:rowOff>171450</xdr:rowOff>
              </to>
            </anchor>
          </objectPr>
        </oleObject>
      </mc:Choice>
      <mc:Fallback>
        <oleObject progId="Equation.3" shapeId="16386" r:id="rId4"/>
      </mc:Fallback>
    </mc:AlternateContent>
    <mc:AlternateContent xmlns:mc="http://schemas.openxmlformats.org/markup-compatibility/2006">
      <mc:Choice Requires="x14">
        <oleObject progId="Equation.3" shapeId="16387" r:id="rId6">
          <objectPr defaultSize="0" autoPict="0" r:id="rId7">
            <anchor moveWithCells="1" sizeWithCells="1">
              <from>
                <xdr:col>6</xdr:col>
                <xdr:colOff>447675</xdr:colOff>
                <xdr:row>1</xdr:row>
                <xdr:rowOff>47625</xdr:rowOff>
              </from>
              <to>
                <xdr:col>8</xdr:col>
                <xdr:colOff>66675</xdr:colOff>
                <xdr:row>3</xdr:row>
                <xdr:rowOff>114300</xdr:rowOff>
              </to>
            </anchor>
          </objectPr>
        </oleObject>
      </mc:Choice>
      <mc:Fallback>
        <oleObject progId="Equation.3" shapeId="16387" r:id="rId6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893FB-841F-4BC9-AC44-D2199208CAF3}">
  <dimension ref="A1:T36"/>
  <sheetViews>
    <sheetView workbookViewId="0">
      <selection activeCell="W13" sqref="W13"/>
    </sheetView>
  </sheetViews>
  <sheetFormatPr defaultRowHeight="15" x14ac:dyDescent="0.25"/>
  <cols>
    <col min="16" max="16" width="12" bestFit="1" customWidth="1"/>
    <col min="19" max="19" width="7.7109375" customWidth="1"/>
  </cols>
  <sheetData>
    <row r="1" spans="1:20" x14ac:dyDescent="0.25">
      <c r="A1" s="1">
        <v>4.06301570844031</v>
      </c>
      <c r="B1" s="1">
        <v>0</v>
      </c>
      <c r="C1" s="1">
        <v>0</v>
      </c>
      <c r="D1" s="1">
        <v>0</v>
      </c>
      <c r="E1" s="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</row>
    <row r="2" spans="1:20" x14ac:dyDescent="0.25">
      <c r="A2" s="1">
        <v>0</v>
      </c>
      <c r="B2" s="1">
        <v>2.1702855043291098</v>
      </c>
      <c r="C2" s="1">
        <v>0</v>
      </c>
      <c r="D2" s="1">
        <v>0</v>
      </c>
      <c r="E2" s="1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20" x14ac:dyDescent="0.25">
      <c r="A3" s="1">
        <v>0</v>
      </c>
      <c r="B3" s="1">
        <v>0</v>
      </c>
      <c r="C3" s="1">
        <v>1.6008862070974099</v>
      </c>
      <c r="D3" s="1">
        <v>0</v>
      </c>
      <c r="E3" s="1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O3" t="s">
        <v>0</v>
      </c>
      <c r="P3" t="s">
        <v>1</v>
      </c>
      <c r="R3" t="s">
        <v>2</v>
      </c>
    </row>
    <row r="4" spans="1:20" x14ac:dyDescent="0.25">
      <c r="A4" s="1">
        <v>0</v>
      </c>
      <c r="B4" s="1">
        <v>0</v>
      </c>
      <c r="C4" s="1">
        <v>0</v>
      </c>
      <c r="D4" s="1">
        <v>1.3174486883505201</v>
      </c>
      <c r="E4" s="1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O4" s="1">
        <v>1</v>
      </c>
      <c r="P4">
        <v>4.06301570844031</v>
      </c>
      <c r="Q4">
        <f>P4/$M$16</f>
        <v>0.3125396698800238</v>
      </c>
      <c r="R4">
        <v>0.8</v>
      </c>
    </row>
    <row r="5" spans="1:20" x14ac:dyDescent="0.25">
      <c r="A5" s="1">
        <v>0</v>
      </c>
      <c r="B5" s="1">
        <v>0</v>
      </c>
      <c r="C5" s="1">
        <v>0</v>
      </c>
      <c r="D5" s="1">
        <v>0</v>
      </c>
      <c r="E5" s="1">
        <v>1.1342010930034301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O5" s="1">
        <v>2</v>
      </c>
      <c r="P5">
        <v>6.2333012127694198</v>
      </c>
      <c r="Q5">
        <f t="shared" ref="Q5:Q16" si="0">P5/$M$16</f>
        <v>0.47948470867457071</v>
      </c>
      <c r="R5">
        <v>0.8</v>
      </c>
    </row>
    <row r="6" spans="1:20" ht="26.25" x14ac:dyDescent="0.4">
      <c r="A6" s="1">
        <v>0</v>
      </c>
      <c r="B6" s="1">
        <v>0</v>
      </c>
      <c r="C6" s="1">
        <v>0</v>
      </c>
      <c r="D6" s="1">
        <v>0</v>
      </c>
      <c r="E6" s="1">
        <v>0</v>
      </c>
      <c r="F6">
        <v>0.93359728186612301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O6" s="1">
        <v>3</v>
      </c>
      <c r="P6">
        <v>7.8341874198668293</v>
      </c>
      <c r="Q6">
        <f t="shared" si="0"/>
        <v>0.60262980152821755</v>
      </c>
      <c r="R6">
        <v>0.8</v>
      </c>
      <c r="T6" s="32" t="s">
        <v>37</v>
      </c>
    </row>
    <row r="7" spans="1:20" x14ac:dyDescent="0.25">
      <c r="A7" s="1">
        <v>0</v>
      </c>
      <c r="B7" s="1">
        <v>0</v>
      </c>
      <c r="C7" s="1">
        <v>0</v>
      </c>
      <c r="D7" s="1">
        <v>0</v>
      </c>
      <c r="E7" s="1">
        <v>0</v>
      </c>
      <c r="F7">
        <v>0</v>
      </c>
      <c r="G7">
        <v>0.643530887107711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O7" s="1">
        <v>4</v>
      </c>
      <c r="P7">
        <v>9.1516361082173496</v>
      </c>
      <c r="Q7">
        <f t="shared" si="0"/>
        <v>0.70397200832441142</v>
      </c>
      <c r="R7">
        <v>0.8</v>
      </c>
    </row>
    <row r="8" spans="1:20" x14ac:dyDescent="0.25">
      <c r="A8" s="1">
        <v>0</v>
      </c>
      <c r="B8" s="1">
        <v>0</v>
      </c>
      <c r="C8" s="1">
        <v>0</v>
      </c>
      <c r="D8" s="1">
        <v>0</v>
      </c>
      <c r="E8" s="1">
        <v>0</v>
      </c>
      <c r="F8">
        <v>0</v>
      </c>
      <c r="G8">
        <v>0</v>
      </c>
      <c r="H8">
        <v>0.58867921437633997</v>
      </c>
      <c r="I8">
        <v>0</v>
      </c>
      <c r="J8">
        <v>0</v>
      </c>
      <c r="K8">
        <v>0</v>
      </c>
      <c r="L8">
        <v>0</v>
      </c>
      <c r="M8">
        <v>0</v>
      </c>
      <c r="O8" s="1">
        <v>5</v>
      </c>
      <c r="P8">
        <v>10.285837201220779</v>
      </c>
      <c r="Q8">
        <f t="shared" si="0"/>
        <v>0.79121824624775217</v>
      </c>
      <c r="R8">
        <v>0.8</v>
      </c>
    </row>
    <row r="9" spans="1:20" x14ac:dyDescent="0.25">
      <c r="A9" s="1">
        <v>0</v>
      </c>
      <c r="B9" s="1">
        <v>0</v>
      </c>
      <c r="C9" s="1">
        <v>0</v>
      </c>
      <c r="D9" s="1">
        <v>0</v>
      </c>
      <c r="E9" s="1">
        <v>0</v>
      </c>
      <c r="F9">
        <v>0</v>
      </c>
      <c r="G9">
        <v>0</v>
      </c>
      <c r="H9">
        <v>0</v>
      </c>
      <c r="I9">
        <v>0.34524758134744299</v>
      </c>
      <c r="J9">
        <v>0</v>
      </c>
      <c r="K9">
        <v>0</v>
      </c>
      <c r="L9">
        <v>0</v>
      </c>
      <c r="M9">
        <v>0</v>
      </c>
      <c r="O9">
        <v>6</v>
      </c>
      <c r="P9">
        <v>11.219434483086902</v>
      </c>
      <c r="Q9">
        <f t="shared" si="0"/>
        <v>0.86303342177591535</v>
      </c>
      <c r="R9">
        <v>0.8</v>
      </c>
    </row>
    <row r="10" spans="1:20" x14ac:dyDescent="0.25">
      <c r="A10" s="1">
        <v>0</v>
      </c>
      <c r="B10" s="1">
        <v>0</v>
      </c>
      <c r="C10" s="1">
        <v>0</v>
      </c>
      <c r="D10" s="1">
        <v>0</v>
      </c>
      <c r="E10" s="1">
        <v>0</v>
      </c>
      <c r="F10">
        <v>0</v>
      </c>
      <c r="G10">
        <v>0</v>
      </c>
      <c r="H10">
        <v>0</v>
      </c>
      <c r="I10">
        <v>0</v>
      </c>
      <c r="J10">
        <v>0.14938043525203901</v>
      </c>
      <c r="K10">
        <v>0</v>
      </c>
      <c r="L10">
        <v>0</v>
      </c>
      <c r="M10">
        <v>0</v>
      </c>
      <c r="O10">
        <v>7</v>
      </c>
      <c r="P10">
        <v>11.862965370194612</v>
      </c>
      <c r="Q10">
        <f t="shared" si="0"/>
        <v>0.91253579770727766</v>
      </c>
      <c r="R10">
        <v>0.8</v>
      </c>
    </row>
    <row r="11" spans="1:20" x14ac:dyDescent="0.25">
      <c r="A11" s="1">
        <v>0</v>
      </c>
      <c r="B11" s="1">
        <v>0</v>
      </c>
      <c r="C11" s="1">
        <v>0</v>
      </c>
      <c r="D11" s="1">
        <v>0</v>
      </c>
      <c r="E11" s="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2.8428808283652799E-2</v>
      </c>
      <c r="L11">
        <v>0</v>
      </c>
      <c r="M11">
        <v>0</v>
      </c>
      <c r="O11">
        <v>8</v>
      </c>
      <c r="P11">
        <v>12.451644584570952</v>
      </c>
      <c r="Q11">
        <f t="shared" si="0"/>
        <v>0.95781881419776538</v>
      </c>
      <c r="R11">
        <v>0.8</v>
      </c>
    </row>
    <row r="12" spans="1:20" x14ac:dyDescent="0.25">
      <c r="A12" s="1">
        <v>0</v>
      </c>
      <c r="B12" s="1">
        <v>0</v>
      </c>
      <c r="C12" s="1">
        <v>0</v>
      </c>
      <c r="D12" s="1">
        <v>0</v>
      </c>
      <c r="E12" s="1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2.2529847688458102E-2</v>
      </c>
      <c r="M12">
        <v>0</v>
      </c>
      <c r="O12">
        <v>9</v>
      </c>
      <c r="P12">
        <v>12.796892165918395</v>
      </c>
      <c r="Q12">
        <f t="shared" si="0"/>
        <v>0.98437632045526102</v>
      </c>
      <c r="R12">
        <v>0.8</v>
      </c>
    </row>
    <row r="13" spans="1:20" x14ac:dyDescent="0.25">
      <c r="A13" s="1">
        <v>0</v>
      </c>
      <c r="B13" s="1">
        <v>0</v>
      </c>
      <c r="C13" s="1">
        <v>0</v>
      </c>
      <c r="D13" s="1">
        <v>0</v>
      </c>
      <c r="E13" s="1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2.7687428574548699E-3</v>
      </c>
      <c r="O13">
        <v>10</v>
      </c>
      <c r="P13">
        <v>12.946272601170435</v>
      </c>
      <c r="Q13">
        <f t="shared" si="0"/>
        <v>0.99586712316695636</v>
      </c>
      <c r="R13">
        <v>0.8</v>
      </c>
    </row>
    <row r="14" spans="1:20" x14ac:dyDescent="0.25">
      <c r="O14">
        <v>11</v>
      </c>
      <c r="P14">
        <v>12.974701409454088</v>
      </c>
      <c r="Q14">
        <f t="shared" si="0"/>
        <v>0.9980539545733913</v>
      </c>
      <c r="R14">
        <v>0.8</v>
      </c>
    </row>
    <row r="15" spans="1:20" x14ac:dyDescent="0.25">
      <c r="A15">
        <f>SUM(A1:A13)</f>
        <v>4.06301570844031</v>
      </c>
      <c r="B15">
        <f t="shared" ref="B15:M15" si="1">SUM(B1:B13)</f>
        <v>2.1702855043291098</v>
      </c>
      <c r="C15">
        <f t="shared" si="1"/>
        <v>1.6008862070974099</v>
      </c>
      <c r="D15">
        <f t="shared" si="1"/>
        <v>1.3174486883505201</v>
      </c>
      <c r="E15">
        <f t="shared" si="1"/>
        <v>1.1342010930034301</v>
      </c>
      <c r="F15">
        <f t="shared" si="1"/>
        <v>0.93359728186612301</v>
      </c>
      <c r="G15">
        <f t="shared" si="1"/>
        <v>0.643530887107711</v>
      </c>
      <c r="H15">
        <f t="shared" si="1"/>
        <v>0.58867921437633997</v>
      </c>
      <c r="I15">
        <f t="shared" si="1"/>
        <v>0.34524758134744299</v>
      </c>
      <c r="J15">
        <f t="shared" si="1"/>
        <v>0.14938043525203901</v>
      </c>
      <c r="K15">
        <f t="shared" si="1"/>
        <v>2.8428808283652799E-2</v>
      </c>
      <c r="L15">
        <f t="shared" si="1"/>
        <v>2.2529847688458102E-2</v>
      </c>
      <c r="M15">
        <f t="shared" si="1"/>
        <v>2.7687428574548699E-3</v>
      </c>
      <c r="O15">
        <v>12</v>
      </c>
      <c r="P15">
        <v>12.997231257142547</v>
      </c>
      <c r="Q15">
        <f t="shared" si="0"/>
        <v>0.9997870197801958</v>
      </c>
      <c r="R15">
        <v>0.8</v>
      </c>
    </row>
    <row r="16" spans="1:20" x14ac:dyDescent="0.25">
      <c r="A16">
        <f>A15</f>
        <v>4.06301570844031</v>
      </c>
      <c r="B16">
        <f>A16+B15</f>
        <v>6.2333012127694198</v>
      </c>
      <c r="C16">
        <f>B16+C15</f>
        <v>7.8341874198668293</v>
      </c>
      <c r="D16">
        <f t="shared" ref="D16:L16" si="2">C16+D15</f>
        <v>9.1516361082173496</v>
      </c>
      <c r="E16">
        <f t="shared" si="2"/>
        <v>10.285837201220779</v>
      </c>
      <c r="F16">
        <f t="shared" si="2"/>
        <v>11.219434483086902</v>
      </c>
      <c r="G16">
        <f t="shared" si="2"/>
        <v>11.862965370194612</v>
      </c>
      <c r="H16">
        <f t="shared" si="2"/>
        <v>12.451644584570952</v>
      </c>
      <c r="I16">
        <f t="shared" si="2"/>
        <v>12.796892165918395</v>
      </c>
      <c r="J16">
        <f t="shared" si="2"/>
        <v>12.946272601170435</v>
      </c>
      <c r="K16">
        <f t="shared" si="2"/>
        <v>12.974701409454088</v>
      </c>
      <c r="L16">
        <f t="shared" si="2"/>
        <v>12.997231257142547</v>
      </c>
      <c r="M16">
        <f>L16+M15</f>
        <v>13.000000000000002</v>
      </c>
      <c r="O16">
        <v>13</v>
      </c>
      <c r="P16">
        <v>13.000000000000002</v>
      </c>
      <c r="Q16">
        <f t="shared" si="0"/>
        <v>1</v>
      </c>
      <c r="R16">
        <v>0.8</v>
      </c>
    </row>
    <row r="19" spans="1:13" x14ac:dyDescent="0.25">
      <c r="A19">
        <v>4.06301570844031</v>
      </c>
      <c r="B19">
        <v>6.2333012127694198</v>
      </c>
      <c r="C19">
        <v>7.8341874198668293</v>
      </c>
      <c r="D19">
        <v>9.1516361082173496</v>
      </c>
      <c r="E19">
        <v>10.285837201220779</v>
      </c>
      <c r="F19">
        <v>11.219434483086902</v>
      </c>
      <c r="G19">
        <v>11.862965370194612</v>
      </c>
      <c r="H19">
        <v>12.451644584570952</v>
      </c>
      <c r="I19">
        <v>12.796892165918395</v>
      </c>
      <c r="J19">
        <v>12.946272601170435</v>
      </c>
      <c r="K19">
        <v>12.974701409454088</v>
      </c>
      <c r="L19">
        <v>12.997231257142547</v>
      </c>
      <c r="M19">
        <v>13.000000000000002</v>
      </c>
    </row>
    <row r="23" spans="1:13" x14ac:dyDescent="0.25">
      <c r="A23">
        <v>4.06301570844031</v>
      </c>
      <c r="B23">
        <v>2.1702855043291098</v>
      </c>
      <c r="C23">
        <v>1.6008862070974099</v>
      </c>
      <c r="D23">
        <v>1.3174486883505201</v>
      </c>
      <c r="E23">
        <v>1.1342010930034301</v>
      </c>
      <c r="F23">
        <v>0.93359728186612301</v>
      </c>
      <c r="G23">
        <v>0.643530887107711</v>
      </c>
      <c r="H23">
        <v>0.58867921437633997</v>
      </c>
      <c r="I23">
        <v>0.34524758134744299</v>
      </c>
      <c r="J23">
        <v>0.14938043525203901</v>
      </c>
      <c r="K23">
        <v>2.8428808283652799E-2</v>
      </c>
      <c r="L23">
        <v>2.2529847688458102E-2</v>
      </c>
      <c r="M23">
        <v>2.7687428574548699E-3</v>
      </c>
    </row>
    <row r="24" spans="1:13" x14ac:dyDescent="0.25">
      <c r="A24">
        <v>4.06301570844031</v>
      </c>
    </row>
    <row r="25" spans="1:13" x14ac:dyDescent="0.25">
      <c r="A25">
        <v>2.1702855043291098</v>
      </c>
    </row>
    <row r="26" spans="1:13" x14ac:dyDescent="0.25">
      <c r="A26">
        <v>1.6008862070974099</v>
      </c>
    </row>
    <row r="27" spans="1:13" x14ac:dyDescent="0.25">
      <c r="A27">
        <v>1.3174486883505201</v>
      </c>
    </row>
    <row r="28" spans="1:13" x14ac:dyDescent="0.25">
      <c r="A28">
        <v>1.1342010930034301</v>
      </c>
    </row>
    <row r="29" spans="1:13" x14ac:dyDescent="0.25">
      <c r="A29">
        <v>0.93359728186612301</v>
      </c>
    </row>
    <row r="30" spans="1:13" x14ac:dyDescent="0.25">
      <c r="A30">
        <v>0.643530887107711</v>
      </c>
    </row>
    <row r="31" spans="1:13" x14ac:dyDescent="0.25">
      <c r="A31">
        <v>0.58867921437633997</v>
      </c>
    </row>
    <row r="32" spans="1:13" x14ac:dyDescent="0.25">
      <c r="A32">
        <v>0.34524758134744299</v>
      </c>
    </row>
    <row r="33" spans="1:1" x14ac:dyDescent="0.25">
      <c r="A33">
        <v>0.14938043525203901</v>
      </c>
    </row>
    <row r="34" spans="1:1" x14ac:dyDescent="0.25">
      <c r="A34">
        <v>2.8428808283652799E-2</v>
      </c>
    </row>
    <row r="35" spans="1:1" x14ac:dyDescent="0.25">
      <c r="A35">
        <v>2.2529847688458102E-2</v>
      </c>
    </row>
    <row r="36" spans="1:1" x14ac:dyDescent="0.25">
      <c r="A36">
        <v>2.7687428574548699E-3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D4002-1299-4BC7-B46E-585F5CB77F36}">
  <dimension ref="A1:M24"/>
  <sheetViews>
    <sheetView workbookViewId="0">
      <selection activeCell="W13" sqref="W13"/>
    </sheetView>
  </sheetViews>
  <sheetFormatPr defaultRowHeight="15" x14ac:dyDescent="0.25"/>
  <sheetData>
    <row r="1" spans="1:13" x14ac:dyDescent="0.25">
      <c r="A1" s="1">
        <v>-0.359208582155712</v>
      </c>
      <c r="B1" s="1">
        <v>0.26978510520323901</v>
      </c>
      <c r="C1" s="1">
        <v>-0.26669000136636001</v>
      </c>
      <c r="D1" s="1">
        <v>-4.4912913380348203E-2</v>
      </c>
      <c r="E1" s="1">
        <v>0.21134247720560301</v>
      </c>
      <c r="F1" s="26">
        <v>7.9176214512215404E-2</v>
      </c>
      <c r="G1" s="26">
        <v>-0.29913698937537803</v>
      </c>
      <c r="H1" s="26">
        <v>6.0969270940135101E-2</v>
      </c>
      <c r="I1" s="26">
        <v>-0.14429725379288</v>
      </c>
      <c r="J1" s="26">
        <v>-0.71612969440655905</v>
      </c>
      <c r="K1" s="26">
        <v>0.17444552672904201</v>
      </c>
      <c r="L1" s="26">
        <v>0.117091767135969</v>
      </c>
      <c r="M1" s="26">
        <v>5.5718923911387601E-2</v>
      </c>
    </row>
    <row r="2" spans="1:13" x14ac:dyDescent="0.25">
      <c r="A2" s="1">
        <v>0.15036954478127301</v>
      </c>
      <c r="B2" s="1">
        <v>-0.39150525309481599</v>
      </c>
      <c r="C2" s="1">
        <v>0.28533434961640203</v>
      </c>
      <c r="D2" s="1">
        <v>0.16535408337225499</v>
      </c>
      <c r="E2" s="1">
        <v>8.8431099273439298E-2</v>
      </c>
      <c r="F2" s="26">
        <v>-0.31685005537146599</v>
      </c>
      <c r="G2" s="26">
        <v>-0.53509006729888597</v>
      </c>
      <c r="H2" s="26">
        <v>0.243449676799458</v>
      </c>
      <c r="I2" s="26">
        <v>-0.50227246463699704</v>
      </c>
      <c r="J2" s="26">
        <v>2.4403895811176801E-2</v>
      </c>
      <c r="K2" s="26">
        <v>6.0107462535506702E-2</v>
      </c>
      <c r="L2" s="26">
        <v>6.0131104328737701E-2</v>
      </c>
      <c r="M2" s="26">
        <v>3.8078800607546301E-2</v>
      </c>
    </row>
    <row r="3" spans="1:13" x14ac:dyDescent="0.25">
      <c r="A3" s="1">
        <v>-1.04037733891667E-2</v>
      </c>
      <c r="B3" s="1">
        <v>-0.16652492656628001</v>
      </c>
      <c r="C3" s="1">
        <v>-0.276408462355269</v>
      </c>
      <c r="D3" s="1">
        <v>0.66451699568447298</v>
      </c>
      <c r="E3" s="1">
        <v>0.126935927011772</v>
      </c>
      <c r="F3" s="26">
        <v>0.14129355729850099</v>
      </c>
      <c r="G3" s="26">
        <v>-0.404514191230609</v>
      </c>
      <c r="H3" s="26">
        <v>-0.20007760262131399</v>
      </c>
      <c r="I3" s="26">
        <v>0.44382020601844402</v>
      </c>
      <c r="J3" s="26">
        <v>9.4570454988523997E-2</v>
      </c>
      <c r="K3" s="26">
        <v>-3.9894670183515703E-2</v>
      </c>
      <c r="L3" s="26">
        <v>-7.6982736794822607E-2</v>
      </c>
      <c r="M3" s="26">
        <v>-3.16146348662786E-2</v>
      </c>
    </row>
    <row r="4" spans="1:13" x14ac:dyDescent="0.25">
      <c r="A4" s="1">
        <v>-0.157489086634962</v>
      </c>
      <c r="B4" s="1">
        <v>0.175039160757334</v>
      </c>
      <c r="C4" s="1">
        <v>1.6042001835714501E-2</v>
      </c>
      <c r="D4" s="1">
        <v>-0.318478772874498</v>
      </c>
      <c r="E4" s="1">
        <v>-0.56725616436107895</v>
      </c>
      <c r="F4" s="26">
        <v>-0.38225422855177599</v>
      </c>
      <c r="G4" s="26">
        <v>-0.48159663150264298</v>
      </c>
      <c r="H4" s="26">
        <v>-4.1362623635561096E-3</v>
      </c>
      <c r="I4" s="26">
        <v>0.37032082347192202</v>
      </c>
      <c r="J4" s="26">
        <v>6.7289773294613095E-2</v>
      </c>
      <c r="K4" s="26">
        <v>-6.9106675894751602E-3</v>
      </c>
      <c r="L4" s="26">
        <v>-3.0328744094011598E-2</v>
      </c>
      <c r="M4" s="26">
        <v>-1.9725969520043799E-2</v>
      </c>
    </row>
    <row r="5" spans="1:13" x14ac:dyDescent="0.25">
      <c r="A5" s="1">
        <v>-0.30950620804573198</v>
      </c>
      <c r="B5" s="1">
        <v>0.38019711225971298</v>
      </c>
      <c r="C5" s="1">
        <v>0.23373645072235799</v>
      </c>
      <c r="D5" s="1">
        <v>0.30843265086569699</v>
      </c>
      <c r="E5" s="1">
        <v>5.9479427550837301E-2</v>
      </c>
      <c r="F5" s="26">
        <v>-6.49565174349261E-2</v>
      </c>
      <c r="G5" s="26">
        <v>8.4101078312395397E-2</v>
      </c>
      <c r="H5" s="26">
        <v>0.26452361465737101</v>
      </c>
      <c r="I5" s="26">
        <v>6.1803272291756597E-2</v>
      </c>
      <c r="J5" s="26">
        <v>0.36000429813927798</v>
      </c>
      <c r="K5" s="26">
        <v>0.43582405840723298</v>
      </c>
      <c r="L5" s="26">
        <v>0.44708071685984002</v>
      </c>
      <c r="M5" s="26">
        <v>4.2932884031472003E-2</v>
      </c>
    </row>
    <row r="6" spans="1:13" x14ac:dyDescent="0.25">
      <c r="A6" s="1">
        <v>-0.41586359070081502</v>
      </c>
      <c r="B6" s="1">
        <v>-0.19485035847362001</v>
      </c>
      <c r="C6" s="1">
        <v>-0.15259396117778801</v>
      </c>
      <c r="D6" s="1">
        <v>8.3114518414778099E-2</v>
      </c>
      <c r="E6" s="1">
        <v>-0.27618300837320697</v>
      </c>
      <c r="F6" s="26">
        <v>4.0405584203059897E-2</v>
      </c>
      <c r="G6" s="26">
        <v>8.4624173252891705E-2</v>
      </c>
      <c r="H6" s="26">
        <v>-0.27538290848031399</v>
      </c>
      <c r="I6" s="26">
        <v>-0.27637074526586197</v>
      </c>
      <c r="J6" s="26">
        <v>0.15159059961337401</v>
      </c>
      <c r="K6" s="26">
        <v>3.3178590229904401E-3</v>
      </c>
      <c r="L6" s="26">
        <v>-6.4745174312345194E-2</v>
      </c>
      <c r="M6" s="26">
        <v>0.70315557647437998</v>
      </c>
    </row>
    <row r="7" spans="1:13" x14ac:dyDescent="0.25">
      <c r="A7" s="1">
        <v>0.33337986260629898</v>
      </c>
      <c r="B7" s="1">
        <v>0.23076655405697499</v>
      </c>
      <c r="C7" s="1">
        <v>-0.264140984704551</v>
      </c>
      <c r="D7" s="1">
        <v>0.26661436662107801</v>
      </c>
      <c r="E7" s="1">
        <v>-0.40631953273425098</v>
      </c>
      <c r="F7" s="26">
        <v>4.3781575569460801E-2</v>
      </c>
      <c r="G7" s="26">
        <v>3.2496402211090902E-2</v>
      </c>
      <c r="H7" s="26">
        <v>0.13129064918899799</v>
      </c>
      <c r="I7" s="26">
        <v>-0.20693296701157499</v>
      </c>
      <c r="J7" s="26">
        <v>-9.7429126958142195E-2</v>
      </c>
      <c r="K7" s="26">
        <v>-0.44778270747998</v>
      </c>
      <c r="L7" s="26">
        <v>0.504493888381225</v>
      </c>
      <c r="M7" s="26">
        <v>4.5915362764766002E-2</v>
      </c>
    </row>
    <row r="8" spans="1:13" x14ac:dyDescent="0.25">
      <c r="A8" s="1">
        <v>-2.81348387706402E-2</v>
      </c>
      <c r="B8" s="1">
        <v>-0.10477586062127001</v>
      </c>
      <c r="C8" s="1">
        <v>-0.37553042489185101</v>
      </c>
      <c r="D8" s="1">
        <v>0.15655122343132</v>
      </c>
      <c r="E8" s="1">
        <v>0.15517184246829399</v>
      </c>
      <c r="F8" s="26">
        <v>-0.79588735378224995</v>
      </c>
      <c r="G8" s="26">
        <v>0.36371981962007499</v>
      </c>
      <c r="H8" s="26">
        <v>0.10348867355984399</v>
      </c>
      <c r="I8" s="26">
        <v>9.4893959043467396E-2</v>
      </c>
      <c r="J8" s="26">
        <v>-0.104394097551301</v>
      </c>
      <c r="K8" s="26">
        <v>7.1336192016985198E-3</v>
      </c>
      <c r="L8" s="26">
        <v>-4.5271724459360403E-2</v>
      </c>
      <c r="M8" s="26">
        <v>1.33664629217862E-2</v>
      </c>
    </row>
    <row r="9" spans="1:13" x14ac:dyDescent="0.25">
      <c r="A9" s="1">
        <v>0.16833768007038899</v>
      </c>
      <c r="B9" s="1">
        <v>0.260314858518785</v>
      </c>
      <c r="C9" s="1">
        <v>0.42925897026218202</v>
      </c>
      <c r="D9" s="1">
        <v>0.16506062275064401</v>
      </c>
      <c r="E9" s="1">
        <v>5.3125184003402201E-2</v>
      </c>
      <c r="F9" s="26">
        <v>-0.27071703033822703</v>
      </c>
      <c r="G9" s="26">
        <v>2.3830595753460401E-2</v>
      </c>
      <c r="H9" s="26">
        <v>-0.74528834366184105</v>
      </c>
      <c r="I9" s="26">
        <v>-5.4794734205276502E-2</v>
      </c>
      <c r="J9" s="26">
        <v>-0.21063156747395601</v>
      </c>
      <c r="K9" s="26">
        <v>1.1425846541696E-2</v>
      </c>
      <c r="L9" s="26">
        <v>0.110977818285975</v>
      </c>
      <c r="M9" s="26">
        <v>2.1046917895334898E-2</v>
      </c>
    </row>
    <row r="10" spans="1:13" x14ac:dyDescent="0.25">
      <c r="A10" s="1">
        <v>-7.0724728496223604E-2</v>
      </c>
      <c r="B10" s="1">
        <v>-0.37150102743678498</v>
      </c>
      <c r="C10" s="1">
        <v>0.391105337249115</v>
      </c>
      <c r="D10" s="1">
        <v>0.26845084044770401</v>
      </c>
      <c r="E10" s="1">
        <v>-0.42031411813290098</v>
      </c>
      <c r="F10" s="26">
        <v>8.6100595583488204E-2</v>
      </c>
      <c r="G10" s="26">
        <v>0.27273948543054999</v>
      </c>
      <c r="H10" s="26">
        <v>0.209251151303945</v>
      </c>
      <c r="I10" s="26">
        <v>0.25348794462748703</v>
      </c>
      <c r="J10" s="26">
        <v>-0.49520059583771098</v>
      </c>
      <c r="K10" s="26">
        <v>0.14199730432669</v>
      </c>
      <c r="L10" s="26">
        <v>-3.4198247139255902E-3</v>
      </c>
      <c r="M10" s="26">
        <v>-7.1359167243264703E-3</v>
      </c>
    </row>
    <row r="11" spans="1:13" x14ac:dyDescent="0.25">
      <c r="A11" s="1">
        <v>0.42188843374879897</v>
      </c>
      <c r="B11" s="1">
        <v>0.18539868150562</v>
      </c>
      <c r="C11" s="1">
        <v>0.15611827175092099</v>
      </c>
      <c r="D11" s="1">
        <v>-7.93000057770539E-2</v>
      </c>
      <c r="E11" s="1">
        <v>0.244868592970334</v>
      </c>
      <c r="F11" s="26">
        <v>-1.0856873019656601E-2</v>
      </c>
      <c r="G11" s="26">
        <v>-7.3837712864177799E-2</v>
      </c>
      <c r="H11" s="26">
        <v>0.26393733722588703</v>
      </c>
      <c r="I11" s="26">
        <v>0.33700871991201797</v>
      </c>
      <c r="J11" s="26">
        <v>-0.10254155788677299</v>
      </c>
      <c r="K11" s="26">
        <v>-2.6406886726284499E-2</v>
      </c>
      <c r="L11" s="26">
        <v>-7.4531776275566203E-2</v>
      </c>
      <c r="M11" s="26">
        <v>0.70102830870396204</v>
      </c>
    </row>
    <row r="12" spans="1:13" x14ac:dyDescent="0.25">
      <c r="A12" s="1">
        <v>-0.32008147904479001</v>
      </c>
      <c r="B12" s="1">
        <v>0.370409834714714</v>
      </c>
      <c r="C12" s="1">
        <v>0.280986845603587</v>
      </c>
      <c r="D12" s="1">
        <v>0.28182313343531901</v>
      </c>
      <c r="E12" s="1">
        <v>3.2296160168495798E-2</v>
      </c>
      <c r="F12" s="26">
        <v>-6.16780690951413E-2</v>
      </c>
      <c r="G12" s="26">
        <v>1.88733136701482E-2</v>
      </c>
      <c r="H12" s="26">
        <v>0.230710029086791</v>
      </c>
      <c r="I12" s="26">
        <v>-0.122011338488585</v>
      </c>
      <c r="J12" s="26">
        <v>3.40288743092154E-3</v>
      </c>
      <c r="K12" s="26">
        <v>-0.52504055965693497</v>
      </c>
      <c r="L12" s="26">
        <v>-0.50076020365561502</v>
      </c>
      <c r="M12" s="26">
        <v>-4.7002684027431602E-2</v>
      </c>
    </row>
    <row r="13" spans="1:13" x14ac:dyDescent="0.25">
      <c r="A13" s="1">
        <v>0.359159097411968</v>
      </c>
      <c r="B13" s="1">
        <v>0.30243962922420897</v>
      </c>
      <c r="C13" s="1">
        <v>-0.203807243392614</v>
      </c>
      <c r="D13" s="1">
        <v>0.212074112718251</v>
      </c>
      <c r="E13" s="1">
        <v>-0.31645438815655602</v>
      </c>
      <c r="F13" s="26">
        <v>3.77684954805695E-2</v>
      </c>
      <c r="G13" s="26">
        <v>1.6832577161700502E-2</v>
      </c>
      <c r="H13" s="26">
        <v>3.28697884501023E-2</v>
      </c>
      <c r="I13" s="26">
        <v>-0.25502939371686301</v>
      </c>
      <c r="J13" s="26">
        <v>-1.49033119864821E-3</v>
      </c>
      <c r="K13" s="26">
        <v>0.52644463340738601</v>
      </c>
      <c r="L13" s="26">
        <v>-0.49653533394076899</v>
      </c>
      <c r="M13" s="26">
        <v>-3.6811565486511301E-2</v>
      </c>
    </row>
    <row r="14" spans="1:13" ht="26.25" x14ac:dyDescent="0.4">
      <c r="E14" s="32" t="s">
        <v>37</v>
      </c>
    </row>
    <row r="17" spans="1:13" x14ac:dyDescent="0.25">
      <c r="A17" t="s">
        <v>46</v>
      </c>
    </row>
    <row r="18" spans="1:13" x14ac:dyDescent="0.25">
      <c r="A18" s="1">
        <v>-0.359208582155712</v>
      </c>
      <c r="B18" s="1">
        <v>0.15036954478127301</v>
      </c>
      <c r="C18" s="1">
        <v>-1.04037733891667E-2</v>
      </c>
      <c r="D18" s="1">
        <v>-0.157489086634962</v>
      </c>
      <c r="E18" s="1">
        <v>-0.30950620804573198</v>
      </c>
      <c r="F18" s="1">
        <v>-0.41586359070081502</v>
      </c>
      <c r="G18" s="1">
        <v>0.33337986260629898</v>
      </c>
      <c r="H18" s="1">
        <v>-2.81348387706402E-2</v>
      </c>
      <c r="I18" s="1">
        <v>0.16833768007038899</v>
      </c>
      <c r="J18" s="1">
        <v>-7.0724728496223604E-2</v>
      </c>
      <c r="K18" s="1">
        <v>0.42188843374879897</v>
      </c>
      <c r="L18" s="1">
        <v>-0.32008147904479001</v>
      </c>
      <c r="M18" s="1">
        <v>0.359159097411968</v>
      </c>
    </row>
    <row r="19" spans="1:13" x14ac:dyDescent="0.25">
      <c r="A19" s="1">
        <v>0.26978510520323901</v>
      </c>
      <c r="B19" s="1">
        <v>-0.39150525309481599</v>
      </c>
      <c r="C19" s="1">
        <v>-0.16652492656628001</v>
      </c>
      <c r="D19" s="1">
        <v>0.175039160757334</v>
      </c>
      <c r="E19" s="1">
        <v>0.38019711225971298</v>
      </c>
      <c r="F19" s="1">
        <v>-0.19485035847362001</v>
      </c>
      <c r="G19" s="1">
        <v>0.23076655405697499</v>
      </c>
      <c r="H19" s="1">
        <v>-0.10477586062127001</v>
      </c>
      <c r="I19" s="1">
        <v>0.260314858518785</v>
      </c>
      <c r="J19" s="1">
        <v>-0.37150102743678498</v>
      </c>
      <c r="K19" s="1">
        <v>0.18539868150562</v>
      </c>
      <c r="L19" s="1">
        <v>0.370409834714714</v>
      </c>
      <c r="M19" s="1">
        <v>0.30243962922420897</v>
      </c>
    </row>
    <row r="20" spans="1:13" x14ac:dyDescent="0.25">
      <c r="A20" s="1">
        <v>-0.26669000136636001</v>
      </c>
      <c r="B20" s="1">
        <v>0.28533434961640203</v>
      </c>
      <c r="C20" s="1">
        <v>-0.276408462355269</v>
      </c>
      <c r="D20" s="1">
        <v>1.6042001835714501E-2</v>
      </c>
      <c r="E20" s="1">
        <v>0.23373645072235799</v>
      </c>
      <c r="F20" s="1">
        <v>-0.15259396117778801</v>
      </c>
      <c r="G20" s="1">
        <v>-0.264140984704551</v>
      </c>
      <c r="H20" s="1">
        <v>-0.37553042489185101</v>
      </c>
      <c r="I20" s="1">
        <v>0.42925897026218202</v>
      </c>
      <c r="J20" s="1">
        <v>0.391105337249115</v>
      </c>
      <c r="K20" s="1">
        <v>0.15611827175092099</v>
      </c>
      <c r="L20" s="1">
        <v>0.280986845603587</v>
      </c>
      <c r="M20" s="1">
        <v>-0.203807243392614</v>
      </c>
    </row>
    <row r="21" spans="1:13" x14ac:dyDescent="0.25">
      <c r="A21" s="1">
        <v>-4.4912913380348203E-2</v>
      </c>
      <c r="B21" s="1">
        <v>0.16535408337225499</v>
      </c>
      <c r="C21" s="1">
        <v>0.66451699568447298</v>
      </c>
      <c r="D21" s="1">
        <v>-0.318478772874498</v>
      </c>
      <c r="E21" s="1">
        <v>0.30843265086569699</v>
      </c>
      <c r="F21" s="1">
        <v>8.3114518414778099E-2</v>
      </c>
      <c r="G21" s="1">
        <v>0.26661436662107801</v>
      </c>
      <c r="H21" s="1">
        <v>0.15655122343132</v>
      </c>
      <c r="I21" s="1">
        <v>0.16506062275064401</v>
      </c>
      <c r="J21" s="1">
        <v>0.26845084044770401</v>
      </c>
      <c r="K21" s="1">
        <v>-7.93000057770539E-2</v>
      </c>
      <c r="L21" s="1">
        <v>0.28182313343531901</v>
      </c>
      <c r="M21" s="1">
        <v>0.212074112718251</v>
      </c>
    </row>
    <row r="22" spans="1:13" x14ac:dyDescent="0.25">
      <c r="A22" s="1">
        <v>0.21134247720560301</v>
      </c>
      <c r="B22" s="1">
        <v>8.8431099273439298E-2</v>
      </c>
      <c r="C22" s="1">
        <v>0.126935927011772</v>
      </c>
      <c r="D22" s="1">
        <v>-0.56725616436107895</v>
      </c>
      <c r="E22" s="1">
        <v>5.9479427550837301E-2</v>
      </c>
      <c r="F22" s="1">
        <v>-0.27618300837320697</v>
      </c>
      <c r="G22" s="1">
        <v>-0.40631953273425098</v>
      </c>
      <c r="H22" s="1">
        <v>0.15517184246829399</v>
      </c>
      <c r="I22" s="1">
        <v>5.3125184003402201E-2</v>
      </c>
      <c r="J22" s="1">
        <v>-0.42031411813290098</v>
      </c>
      <c r="K22" s="1">
        <v>0.244868592970334</v>
      </c>
      <c r="L22" s="1">
        <v>3.2296160168495798E-2</v>
      </c>
      <c r="M22" s="1">
        <v>-0.31645438815655602</v>
      </c>
    </row>
    <row r="24" spans="1:13" x14ac:dyDescent="0.25">
      <c r="H24" s="27"/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Guide</vt:lpstr>
      <vt:lpstr>Step 5 - NOC6 - X &amp; X̆</vt:lpstr>
      <vt:lpstr>Step 6 - P=X̆V</vt:lpstr>
      <vt:lpstr>Step 7 - T2</vt:lpstr>
      <vt:lpstr>Step 7 - SPE</vt:lpstr>
      <vt:lpstr>Step 8 - T2</vt:lpstr>
      <vt:lpstr>Step 8 - SPE</vt:lpstr>
      <vt:lpstr>Archive_Eigenvalues</vt:lpstr>
      <vt:lpstr>Archive_Eiegenvectors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CC-SISPI08</dc:creator>
  <cp:lastModifiedBy>Muhammad Iqbal Shafiq bin Mohd Shaufi</cp:lastModifiedBy>
  <dcterms:created xsi:type="dcterms:W3CDTF">2023-01-10T03:16:28Z</dcterms:created>
  <dcterms:modified xsi:type="dcterms:W3CDTF">2023-01-17T08:52:16Z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530cf4-8573-4c29-a912-bbcdac835909_Enabled">
    <vt:lpwstr>true</vt:lpwstr>
  </property>
  <property fmtid="{D5CDD505-2E9C-101B-9397-08002B2CF9AE}" pid="3" name="MSIP_Label_06530cf4-8573-4c29-a912-bbcdac835909_SetDate">
    <vt:lpwstr>2023-01-17T08:52:15Z</vt:lpwstr>
  </property>
  <property fmtid="{D5CDD505-2E9C-101B-9397-08002B2CF9AE}" pid="4" name="MSIP_Label_06530cf4-8573-4c29-a912-bbcdac835909_Method">
    <vt:lpwstr>Standard</vt:lpwstr>
  </property>
  <property fmtid="{D5CDD505-2E9C-101B-9397-08002B2CF9AE}" pid="5" name="MSIP_Label_06530cf4-8573-4c29-a912-bbcdac835909_Name">
    <vt:lpwstr>06530cf4-8573-4c29-a912-bbcdac835909</vt:lpwstr>
  </property>
  <property fmtid="{D5CDD505-2E9C-101B-9397-08002B2CF9AE}" pid="6" name="MSIP_Label_06530cf4-8573-4c29-a912-bbcdac835909_SiteId">
    <vt:lpwstr>ecaa386b-c8df-4ce0-ad01-740cbdb5ba55</vt:lpwstr>
  </property>
  <property fmtid="{D5CDD505-2E9C-101B-9397-08002B2CF9AE}" pid="7" name="MSIP_Label_06530cf4-8573-4c29-a912-bbcdac835909_ActionId">
    <vt:lpwstr>8dd63a0a-0182-4276-8229-d47a21445eda</vt:lpwstr>
  </property>
  <property fmtid="{D5CDD505-2E9C-101B-9397-08002B2CF9AE}" pid="8" name="MSIP_Label_06530cf4-8573-4c29-a912-bbcdac835909_ContentBits">
    <vt:lpwstr>2</vt:lpwstr>
  </property>
</Properties>
</file>